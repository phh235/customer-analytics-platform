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  <sheet state="visible" name="Products" sheetId="2" r:id="rId6"/>
    <sheet state="visible" name="Orders" sheetId="3" r:id="rId7"/>
    <sheet state="visible" name="OderItems" sheetId="4" r:id="rId8"/>
    <sheet state="visible" name="Payments" sheetId="5" r:id="rId9"/>
    <sheet state="visible" name="Reviews" sheetId="6" r:id="rId10"/>
    <sheet state="visible" name="Sellers" sheetId="7" r:id="rId11"/>
    <sheet state="visible" name="Geolocation" sheetId="8" r:id="rId12"/>
    <sheet state="visible" name="DataDictionary" sheetId="9" r:id="rId13"/>
    <sheet state="visible" name="Employees" sheetId="10" r:id="rId14"/>
    <sheet state="visible" name="Interactions" sheetId="11" r:id="rId15"/>
    <sheet state="visible" name="Campaigns" sheetId="12" r:id="rId16"/>
    <sheet state="visible" name="CustomerAnalytics" sheetId="13" r:id="rId17"/>
    <sheet state="visible" name="ModelRuns" sheetId="14" r:id="rId18"/>
  </sheets>
  <definedNames>
    <definedName hidden="1" localSheetId="0" name="_xlnm._FilterDatabase">Customers!$A$1:$N$81</definedName>
    <definedName hidden="1" localSheetId="1" name="_xlnm._FilterDatabase">Products!$A$1:$N$41</definedName>
    <definedName hidden="1" localSheetId="2" name="_xlnm._FilterDatabase">Orders!$A$1:$T$201</definedName>
    <definedName hidden="1" localSheetId="3" name="_xlnm._FilterDatabase">OderItems!$A$1:$M$510</definedName>
    <definedName hidden="1" localSheetId="4" name="_xlnm._FilterDatabase">Payments!$A$1:$J$201</definedName>
    <definedName hidden="1" localSheetId="5" name="_xlnm._FilterDatabase">Reviews!$A$1:$I$142</definedName>
    <definedName hidden="1" localSheetId="6" name="_xlnm._FilterDatabase">Sellers!$A$1:$K$31</definedName>
    <definedName hidden="1" localSheetId="7" name="_xlnm._FilterDatabase">Geolocation!$A$1:$F$81</definedName>
    <definedName hidden="1" localSheetId="8" name="_xlnm._FilterDatabase">DataDictionary!$A$1:$O$141</definedName>
    <definedName hidden="1" localSheetId="9" name="_xlnm._FilterDatabase">Employees!$A$1:$H$9</definedName>
    <definedName hidden="1" localSheetId="10" name="_xlnm._FilterDatabase">Interactions!$A$1:$J$481</definedName>
    <definedName hidden="1" localSheetId="11" name="_xlnm._FilterDatabase">Campaigns!$A$1:$I$5</definedName>
    <definedName hidden="1" localSheetId="12" name="_xlnm._FilterDatabase">CustomerAnalytics!$A$1:$P$81</definedName>
    <definedName hidden="1" localSheetId="13" name="_xlnm._FilterDatabase">ModelRuns!$A$1:$J$3</definedName>
  </definedNames>
  <calcPr/>
</workbook>
</file>

<file path=xl/sharedStrings.xml><?xml version="1.0" encoding="utf-8"?>
<sst xmlns="http://schemas.openxmlformats.org/spreadsheetml/2006/main" count="13231" uniqueCount="2868">
  <si>
    <t>customer_id</t>
  </si>
  <si>
    <t>product_id</t>
  </si>
  <si>
    <t>customer_unique_id</t>
  </si>
  <si>
    <t>customer_zip_code_prefix</t>
  </si>
  <si>
    <t>customer_city</t>
  </si>
  <si>
    <t>customer_state</t>
  </si>
  <si>
    <t>CustomerName</t>
  </si>
  <si>
    <t>product_category_name</t>
  </si>
  <si>
    <t>Region</t>
  </si>
  <si>
    <t>ProvinceCity</t>
  </si>
  <si>
    <t>product_name_lenght</t>
  </si>
  <si>
    <t>Email</t>
  </si>
  <si>
    <t>Phone</t>
  </si>
  <si>
    <t>RegisteredDate</t>
  </si>
  <si>
    <t>product_description_lenght</t>
  </si>
  <si>
    <t>owner_id</t>
  </si>
  <si>
    <t>product_photos_qty</t>
  </si>
  <si>
    <t>CustomerStatus</t>
  </si>
  <si>
    <t>CustomerSegment</t>
  </si>
  <si>
    <t>product_weight_g</t>
  </si>
  <si>
    <t>product_length_cm</t>
  </si>
  <si>
    <t>product_height_cm</t>
  </si>
  <si>
    <t>product_width_cm</t>
  </si>
  <si>
    <t>Description</t>
  </si>
  <si>
    <t>ProductCategory</t>
  </si>
  <si>
    <t>ListPrice</t>
  </si>
  <si>
    <t>order_id</t>
  </si>
  <si>
    <t>Currency</t>
  </si>
  <si>
    <t>ProductStatus</t>
  </si>
  <si>
    <t>order_status</t>
  </si>
  <si>
    <t>CUS00001</t>
  </si>
  <si>
    <t>order_purchase_timestamp</t>
  </si>
  <si>
    <t>order_item_id</t>
  </si>
  <si>
    <t>seller_id</t>
  </si>
  <si>
    <t>shipping_limit_date</t>
  </si>
  <si>
    <t>order_approved_at</t>
  </si>
  <si>
    <t>KH0001</t>
  </si>
  <si>
    <t>price</t>
  </si>
  <si>
    <t>order_delivered_carrier_date</t>
  </si>
  <si>
    <t>Đà Nẵng</t>
  </si>
  <si>
    <t>freight_value</t>
  </si>
  <si>
    <t>DN</t>
  </si>
  <si>
    <t>order_delivered_customer_date</t>
  </si>
  <si>
    <t>SP001</t>
  </si>
  <si>
    <t>Quantity</t>
  </si>
  <si>
    <t>Phạm Văn Hải</t>
  </si>
  <si>
    <t>Miền Trung</t>
  </si>
  <si>
    <t>dien_tu</t>
  </si>
  <si>
    <t>LineAmount</t>
  </si>
  <si>
    <t>kh0001@example.vn</t>
  </si>
  <si>
    <t>0960 351 958</t>
  </si>
  <si>
    <t>OrderDetailID</t>
  </si>
  <si>
    <t>order_estimated_delivery_date</t>
  </si>
  <si>
    <t>CustomerID</t>
  </si>
  <si>
    <t>discount_value</t>
  </si>
  <si>
    <t>SalesChannel</t>
  </si>
  <si>
    <t>line_subtotal</t>
  </si>
  <si>
    <t>PaymentMethod</t>
  </si>
  <si>
    <t>line_total</t>
  </si>
  <si>
    <t>EMP001</t>
  </si>
  <si>
    <t>Active</t>
  </si>
  <si>
    <t>OrderSubtotal</t>
  </si>
  <si>
    <t>Tiềm năng</t>
  </si>
  <si>
    <t>FreightTotal</t>
  </si>
  <si>
    <t>Tai nghe Bluetooth</t>
  </si>
  <si>
    <t>DiscountTotal</t>
  </si>
  <si>
    <t>Điện tử</t>
  </si>
  <si>
    <t>CUS00002</t>
  </si>
  <si>
    <t>KH0002</t>
  </si>
  <si>
    <t>OrderTotal</t>
  </si>
  <si>
    <t>Hà Nội</t>
  </si>
  <si>
    <t>HN</t>
  </si>
  <si>
    <t>Huỳnh Quốc Ngân</t>
  </si>
  <si>
    <t>DH00001</t>
  </si>
  <si>
    <t>Miền Bắc</t>
  </si>
  <si>
    <t>IsValidForRFM</t>
  </si>
  <si>
    <t>kh0002@example.vn</t>
  </si>
  <si>
    <t>0931 115 592</t>
  </si>
  <si>
    <t>EMP002</t>
  </si>
  <si>
    <t>VNĐ</t>
  </si>
  <si>
    <t>SP019</t>
  </si>
  <si>
    <t>NCC0019</t>
  </si>
  <si>
    <t>CUS00003</t>
  </si>
  <si>
    <t>KH0003</t>
  </si>
  <si>
    <t>Quảng Nam</t>
  </si>
  <si>
    <t>CUS00057</t>
  </si>
  <si>
    <t>QNA</t>
  </si>
  <si>
    <t>Võ Thị Mai</t>
  </si>
  <si>
    <t>delivered</t>
  </si>
  <si>
    <t>kh0003@example.vn</t>
  </si>
  <si>
    <t>0956 296 045</t>
  </si>
  <si>
    <t>EMP003</t>
  </si>
  <si>
    <t>Tiềm năng cao</t>
  </si>
  <si>
    <t>CUS00004</t>
  </si>
  <si>
    <t>KH0004</t>
  </si>
  <si>
    <t>KH0057</t>
  </si>
  <si>
    <t>Thái Nguyên</t>
  </si>
  <si>
    <t>TN</t>
  </si>
  <si>
    <t>CT000001</t>
  </si>
  <si>
    <t>Trần Quốc Hạnh</t>
  </si>
  <si>
    <t>Cửa hàng</t>
  </si>
  <si>
    <t>kh0004@example.vn</t>
  </si>
  <si>
    <t>Chuyển khoản</t>
  </si>
  <si>
    <t>0964 011 841</t>
  </si>
  <si>
    <t>EMP004</t>
  </si>
  <si>
    <t>Thông thường</t>
  </si>
  <si>
    <t>CUS00005</t>
  </si>
  <si>
    <t>KH0005</t>
  </si>
  <si>
    <t>Nguyễn Thị Hải</t>
  </si>
  <si>
    <t>kh0005@example.vn</t>
  </si>
  <si>
    <t>0928 246 491</t>
  </si>
  <si>
    <t>EMP005</t>
  </si>
  <si>
    <t>SP002</t>
  </si>
  <si>
    <t>CUS00006</t>
  </si>
  <si>
    <t>KH0006</t>
  </si>
  <si>
    <t>Trần Thị Hùng</t>
  </si>
  <si>
    <t>Chuột không dây</t>
  </si>
  <si>
    <t>kh0006@example.vn</t>
  </si>
  <si>
    <t>0987 510 567</t>
  </si>
  <si>
    <t>EMP006</t>
  </si>
  <si>
    <t>CUS00007</t>
  </si>
  <si>
    <t>KH0007</t>
  </si>
  <si>
    <t>SP003</t>
  </si>
  <si>
    <t>Hải Phòng</t>
  </si>
  <si>
    <t>HP</t>
  </si>
  <si>
    <t>Nguyễn Ngọc Hùng</t>
  </si>
  <si>
    <t>kh0007@example.vn</t>
  </si>
  <si>
    <t>0907 383 466</t>
  </si>
  <si>
    <t>EMP007</t>
  </si>
  <si>
    <t>Loa Bluetooth mini</t>
  </si>
  <si>
    <t>CUS00008</t>
  </si>
  <si>
    <t>KH0008</t>
  </si>
  <si>
    <t>Khánh Hòa</t>
  </si>
  <si>
    <t>KH</t>
  </si>
  <si>
    <t>Lê Ngọc Lan</t>
  </si>
  <si>
    <t>kh0008@example.vn</t>
  </si>
  <si>
    <t>SP004</t>
  </si>
  <si>
    <t>0961 580 884</t>
  </si>
  <si>
    <t>EMP008</t>
  </si>
  <si>
    <t>Bàn phím cơ mini</t>
  </si>
  <si>
    <t>CUS00009</t>
  </si>
  <si>
    <t>KH0009</t>
  </si>
  <si>
    <t>Bắc Ninh</t>
  </si>
  <si>
    <t>BN</t>
  </si>
  <si>
    <t>Huỳnh Quốc Bảo</t>
  </si>
  <si>
    <t>kh0009@example.vn</t>
  </si>
  <si>
    <t>0984 807 255</t>
  </si>
  <si>
    <t>SP005</t>
  </si>
  <si>
    <t>thoi_trang</t>
  </si>
  <si>
    <t>CUS00010</t>
  </si>
  <si>
    <t>KH0010</t>
  </si>
  <si>
    <t>Bà Rịa - Vũng Tàu</t>
  </si>
  <si>
    <t>BRVT</t>
  </si>
  <si>
    <t>Võ Minh Quân</t>
  </si>
  <si>
    <t>Miền Nam</t>
  </si>
  <si>
    <t>Áo thun cotton</t>
  </si>
  <si>
    <t>NCC0003</t>
  </si>
  <si>
    <t>Thời trang</t>
  </si>
  <si>
    <t>kh0010@example.vn</t>
  </si>
  <si>
    <t>0944 109 467</t>
  </si>
  <si>
    <t>CT000002</t>
  </si>
  <si>
    <t>CUS00011</t>
  </si>
  <si>
    <t>KH0011</t>
  </si>
  <si>
    <t>SP006</t>
  </si>
  <si>
    <t>Bùi Gia Long</t>
  </si>
  <si>
    <t>kh0011@example.vn</t>
  </si>
  <si>
    <t>0914 998 960</t>
  </si>
  <si>
    <t>Chưa đủ dữ liệu</t>
  </si>
  <si>
    <t>Túi đeo chéo</t>
  </si>
  <si>
    <t>CUS00012</t>
  </si>
  <si>
    <t>KH0012</t>
  </si>
  <si>
    <t>Quảng Ninh</t>
  </si>
  <si>
    <t>QN</t>
  </si>
  <si>
    <t>Trần Ngọc Lan</t>
  </si>
  <si>
    <t>kh0012@example.vn</t>
  </si>
  <si>
    <t>SP039</t>
  </si>
  <si>
    <t>0915 503 813</t>
  </si>
  <si>
    <t>SP007</t>
  </si>
  <si>
    <t>NCC0009</t>
  </si>
  <si>
    <t>CT000003</t>
  </si>
  <si>
    <t>Mũ lưỡi trai</t>
  </si>
  <si>
    <t>CUS00013</t>
  </si>
  <si>
    <t>KH0013</t>
  </si>
  <si>
    <t>Huỳnh Minh Hạnh</t>
  </si>
  <si>
    <t>SP008</t>
  </si>
  <si>
    <t>kh0013@example.vn</t>
  </si>
  <si>
    <t>0976 800 721</t>
  </si>
  <si>
    <t>Ví da nhỏ gọn</t>
  </si>
  <si>
    <t>CUS00014</t>
  </si>
  <si>
    <t>SP029</t>
  </si>
  <si>
    <t>KH0014</t>
  </si>
  <si>
    <t>NCC0029</t>
  </si>
  <si>
    <t>Thừa Thiên Huế</t>
  </si>
  <si>
    <t>CT000004</t>
  </si>
  <si>
    <t>TTH</t>
  </si>
  <si>
    <t>Nguyễn Gia Bảo</t>
  </si>
  <si>
    <t>kh0014@example.vn</t>
  </si>
  <si>
    <t>0994 408 805</t>
  </si>
  <si>
    <t>SP009</t>
  </si>
  <si>
    <t>my_pham</t>
  </si>
  <si>
    <t>CUS00015</t>
  </si>
  <si>
    <t>KH0015</t>
  </si>
  <si>
    <t>Long An</t>
  </si>
  <si>
    <t>LA</t>
  </si>
  <si>
    <t>Nguyễn Văn Giang</t>
  </si>
  <si>
    <t>Sữa rửa mặt dịu nhẹ</t>
  </si>
  <si>
    <t>Mỹ phẩm</t>
  </si>
  <si>
    <t>kh0015@example.vn</t>
  </si>
  <si>
    <t>DH00002</t>
  </si>
  <si>
    <t>0940 352 970</t>
  </si>
  <si>
    <t>SP010</t>
  </si>
  <si>
    <t>CT000005</t>
  </si>
  <si>
    <t>CUS00016</t>
  </si>
  <si>
    <t>KH0016</t>
  </si>
  <si>
    <t>Son dưỡng môi</t>
  </si>
  <si>
    <t>Cần Thơ</t>
  </si>
  <si>
    <t>CT</t>
  </si>
  <si>
    <t>Võ Thanh Mai</t>
  </si>
  <si>
    <t>kh0016@example.vn</t>
  </si>
  <si>
    <t>0905 474 040</t>
  </si>
  <si>
    <t>CUS00017</t>
  </si>
  <si>
    <t>KH0017</t>
  </si>
  <si>
    <t>SP011</t>
  </si>
  <si>
    <t>Đặng Thu Linh</t>
  </si>
  <si>
    <t>kh0017@example.vn</t>
  </si>
  <si>
    <t>0913 426 222</t>
  </si>
  <si>
    <t>Kem chống nắng SPF50</t>
  </si>
  <si>
    <t>NCC0008</t>
  </si>
  <si>
    <t>CUS00018</t>
  </si>
  <si>
    <t>KH0018</t>
  </si>
  <si>
    <t>CT000006</t>
  </si>
  <si>
    <t>Trần Thị Quân</t>
  </si>
  <si>
    <t>kh0018@example.vn</t>
  </si>
  <si>
    <t>0985 109 442</t>
  </si>
  <si>
    <t>SP012</t>
  </si>
  <si>
    <t>CUS00019</t>
  </si>
  <si>
    <t>KH0019</t>
  </si>
  <si>
    <t>Nước tẩy trang</t>
  </si>
  <si>
    <t>Huỳnh Quốc Hùng</t>
  </si>
  <si>
    <t>kh0019@example.vn</t>
  </si>
  <si>
    <t>0965 584 891</t>
  </si>
  <si>
    <t>SP023</t>
  </si>
  <si>
    <t>SP013</t>
  </si>
  <si>
    <t>NCC0023</t>
  </si>
  <si>
    <t>do_gia_dung</t>
  </si>
  <si>
    <t>CUS00020</t>
  </si>
  <si>
    <t>KH0020</t>
  </si>
  <si>
    <t>CUS00056</t>
  </si>
  <si>
    <t>CT000007</t>
  </si>
  <si>
    <t>Lê Thị Hải</t>
  </si>
  <si>
    <t>Nồi inox 24 cm</t>
  </si>
  <si>
    <t>Đồ gia dụng</t>
  </si>
  <si>
    <t>kh0020@example.vn</t>
  </si>
  <si>
    <t>0936 166 666</t>
  </si>
  <si>
    <t>KH0056</t>
  </si>
  <si>
    <t>CUS00021</t>
  </si>
  <si>
    <t>KH0021</t>
  </si>
  <si>
    <t>SP014</t>
  </si>
  <si>
    <t>COD</t>
  </si>
  <si>
    <t>Nguyễn Thanh Giang</t>
  </si>
  <si>
    <t>TP. Hồ Chí Minh</t>
  </si>
  <si>
    <t>kh0021@example.vn</t>
  </si>
  <si>
    <t>0953 620 641</t>
  </si>
  <si>
    <t>Đèn ngủ để bàn</t>
  </si>
  <si>
    <t>SP030</t>
  </si>
  <si>
    <t>CUS00022</t>
  </si>
  <si>
    <t>NCC0030</t>
  </si>
  <si>
    <t>KH0022</t>
  </si>
  <si>
    <t>Đồng Nai</t>
  </si>
  <si>
    <t>DNA</t>
  </si>
  <si>
    <t>Huỳnh Gia Quân</t>
  </si>
  <si>
    <t>SP015</t>
  </si>
  <si>
    <t>CT000008</t>
  </si>
  <si>
    <t>kh0022@example.vn</t>
  </si>
  <si>
    <t>0967 483 769</t>
  </si>
  <si>
    <t>Hộp đựng thực phẩm</t>
  </si>
  <si>
    <t>CUS00023</t>
  </si>
  <si>
    <t>KH0023</t>
  </si>
  <si>
    <t>Nguyễn Thu Hiếu</t>
  </si>
  <si>
    <t>kh0023@example.vn</t>
  </si>
  <si>
    <t>0996 692 764</t>
  </si>
  <si>
    <t>SP016</t>
  </si>
  <si>
    <t>DH00003</t>
  </si>
  <si>
    <t>SP021</t>
  </si>
  <si>
    <t>CUS00024</t>
  </si>
  <si>
    <t>KH0024</t>
  </si>
  <si>
    <t>NCC0021</t>
  </si>
  <si>
    <t>Nam Định</t>
  </si>
  <si>
    <t>ND</t>
  </si>
  <si>
    <t>Bùi Gia Nam</t>
  </si>
  <si>
    <t>Bộ ly thủy tinh</t>
  </si>
  <si>
    <t>kh0024@example.vn</t>
  </si>
  <si>
    <t>CT000009</t>
  </si>
  <si>
    <t>0979 230 671</t>
  </si>
  <si>
    <t>CUS00025</t>
  </si>
  <si>
    <t>KH0025</t>
  </si>
  <si>
    <t>SP017</t>
  </si>
  <si>
    <t>do_dung_ca_nhan</t>
  </si>
  <si>
    <t>Trần Thị Long</t>
  </si>
  <si>
    <t>kh0025@example.vn</t>
  </si>
  <si>
    <t>0974 613 096</t>
  </si>
  <si>
    <t>Bình giữ nhiệt</t>
  </si>
  <si>
    <t>Đồ dùng cá nhân</t>
  </si>
  <si>
    <t>CUS00026</t>
  </si>
  <si>
    <t>NCC0002</t>
  </si>
  <si>
    <t>KH0026</t>
  </si>
  <si>
    <t>Bình Định</t>
  </si>
  <si>
    <t>BD</t>
  </si>
  <si>
    <t>Nguyễn Thanh Hiếu</t>
  </si>
  <si>
    <t>CT000010</t>
  </si>
  <si>
    <t>kh0026@example.vn</t>
  </si>
  <si>
    <t>SP018</t>
  </si>
  <si>
    <t>0979 992 898</t>
  </si>
  <si>
    <t>Ô gấp tự động</t>
  </si>
  <si>
    <t>CUS00027</t>
  </si>
  <si>
    <t>KH0027</t>
  </si>
  <si>
    <t>Huỳnh Thu Ngân</t>
  </si>
  <si>
    <t>kh0027@example.vn</t>
  </si>
  <si>
    <t>0947 712 957</t>
  </si>
  <si>
    <t>DH00004</t>
  </si>
  <si>
    <t>SP031</t>
  </si>
  <si>
    <t>NCC0001</t>
  </si>
  <si>
    <t>CUS00028</t>
  </si>
  <si>
    <t>KH0028</t>
  </si>
  <si>
    <t>Bùi Minh Hà</t>
  </si>
  <si>
    <t>CT000011</t>
  </si>
  <si>
    <t>Balo chống nước</t>
  </si>
  <si>
    <t>kh0028@example.vn</t>
  </si>
  <si>
    <t>0946 531 100</t>
  </si>
  <si>
    <t>CUS00029</t>
  </si>
  <si>
    <t>KH0029</t>
  </si>
  <si>
    <t>SP020</t>
  </si>
  <si>
    <t>Lê Gia Bảo</t>
  </si>
  <si>
    <t>kh0029@example.vn</t>
  </si>
  <si>
    <t>0921 729 628</t>
  </si>
  <si>
    <t>Khăn tắm cotton</t>
  </si>
  <si>
    <t>SP025</t>
  </si>
  <si>
    <t>NCC0025</t>
  </si>
  <si>
    <t>CUS00030</t>
  </si>
  <si>
    <t>KH0030</t>
  </si>
  <si>
    <t>CT000012</t>
  </si>
  <si>
    <t>Võ Ngọc Mai</t>
  </si>
  <si>
    <t>Ứng dụng</t>
  </si>
  <si>
    <t>kh0030@example.vn</t>
  </si>
  <si>
    <t>Ví điện tử</t>
  </si>
  <si>
    <t>0962 153 852</t>
  </si>
  <si>
    <t>sach_va_van_phong_pham</t>
  </si>
  <si>
    <t>Sổ tay bìa cứng</t>
  </si>
  <si>
    <t>CUS00031</t>
  </si>
  <si>
    <t>KH0031</t>
  </si>
  <si>
    <t>Sách và văn phòng phẩm</t>
  </si>
  <si>
    <t>Trần Gia Vy</t>
  </si>
  <si>
    <t>kh0031@example.vn</t>
  </si>
  <si>
    <t>SP033</t>
  </si>
  <si>
    <t>0906 149 857</t>
  </si>
  <si>
    <t>CT000013</t>
  </si>
  <si>
    <t>SP022</t>
  </si>
  <si>
    <t>CUS00032</t>
  </si>
  <si>
    <t>KH0032</t>
  </si>
  <si>
    <t>Vũ Văn Châu</t>
  </si>
  <si>
    <t>kh0032@example.vn</t>
  </si>
  <si>
    <t>0994 641 246</t>
  </si>
  <si>
    <t>Bộ bút màu 24 cây</t>
  </si>
  <si>
    <t>CUS00033</t>
  </si>
  <si>
    <t>KH0033</t>
  </si>
  <si>
    <t>Đặng Văn Châu</t>
  </si>
  <si>
    <t>DH00005</t>
  </si>
  <si>
    <t>kh0033@example.vn</t>
  </si>
  <si>
    <t>0939 447 893</t>
  </si>
  <si>
    <t>CT000014</t>
  </si>
  <si>
    <t>Bút ký kim loại</t>
  </si>
  <si>
    <t>CUS00034</t>
  </si>
  <si>
    <t>KH0034</t>
  </si>
  <si>
    <t>Lê Văn Ngân</t>
  </si>
  <si>
    <t>kh0034@example.vn</t>
  </si>
  <si>
    <t>0999 656 748</t>
  </si>
  <si>
    <t>SP024</t>
  </si>
  <si>
    <t>CUS00035</t>
  </si>
  <si>
    <t>KH0035</t>
  </si>
  <si>
    <t>Bình Dương</t>
  </si>
  <si>
    <t>BDU</t>
  </si>
  <si>
    <t>Hoàng Quốc Trang</t>
  </si>
  <si>
    <t>Giá đỡ sách</t>
  </si>
  <si>
    <t>kh0035@example.vn</t>
  </si>
  <si>
    <t>0979 655 556</t>
  </si>
  <si>
    <t>CT000015</t>
  </si>
  <si>
    <t>CUS00036</t>
  </si>
  <si>
    <t>KH0036</t>
  </si>
  <si>
    <t>Trần Thanh Bảo</t>
  </si>
  <si>
    <t>do_choi</t>
  </si>
  <si>
    <t>kh0036@example.vn</t>
  </si>
  <si>
    <t>0960 584 846</t>
  </si>
  <si>
    <t>Bộ xếp hình sáng tạo</t>
  </si>
  <si>
    <t>Đồ chơi</t>
  </si>
  <si>
    <t>DH00006</t>
  </si>
  <si>
    <t>CUS00037</t>
  </si>
  <si>
    <t>KH0037</t>
  </si>
  <si>
    <t>NCC0005</t>
  </si>
  <si>
    <t>Võ Quốc Phúc</t>
  </si>
  <si>
    <t>kh0037@example.vn</t>
  </si>
  <si>
    <t>0983 701 841</t>
  </si>
  <si>
    <t>CT000016</t>
  </si>
  <si>
    <t>SP026</t>
  </si>
  <si>
    <t>CUS00038</t>
  </si>
  <si>
    <t>Website</t>
  </si>
  <si>
    <t>KH0038</t>
  </si>
  <si>
    <t>Thẻ ngân hàng</t>
  </si>
  <si>
    <t>Phan Thanh Anh</t>
  </si>
  <si>
    <t>Xe điều khiển mini</t>
  </si>
  <si>
    <t>kh0038@example.vn</t>
  </si>
  <si>
    <t>0900 731 984</t>
  </si>
  <si>
    <t>CUS00039</t>
  </si>
  <si>
    <t>SP027</t>
  </si>
  <si>
    <t>KH0039</t>
  </si>
  <si>
    <t>NCC0011</t>
  </si>
  <si>
    <t>HCM</t>
  </si>
  <si>
    <t>Đỗ Minh Châu</t>
  </si>
  <si>
    <t>kh0039@example.vn</t>
  </si>
  <si>
    <t>0923 959 540</t>
  </si>
  <si>
    <t>CT000017</t>
  </si>
  <si>
    <t>Bộ đất nặn an toàn</t>
  </si>
  <si>
    <t>CUS00040</t>
  </si>
  <si>
    <t>KH0040</t>
  </si>
  <si>
    <t>Trần Ngọc Anh</t>
  </si>
  <si>
    <t>SP028</t>
  </si>
  <si>
    <t>kh0040@example.vn</t>
  </si>
  <si>
    <t>0928 828 262</t>
  </si>
  <si>
    <t>Trò chơi thẻ gia đình</t>
  </si>
  <si>
    <t>CUS00041</t>
  </si>
  <si>
    <t>KH0041</t>
  </si>
  <si>
    <t>Nguyễn Gia Quân</t>
  </si>
  <si>
    <t>kh0041@example.vn</t>
  </si>
  <si>
    <t>0915 436 411</t>
  </si>
  <si>
    <t>CT000018</t>
  </si>
  <si>
    <t>the_thao</t>
  </si>
  <si>
    <t>CUS00042</t>
  </si>
  <si>
    <t>KH0042</t>
  </si>
  <si>
    <t>Bóng đá số 5</t>
  </si>
  <si>
    <t>Đặng Minh Dũng</t>
  </si>
  <si>
    <t>Thể thao</t>
  </si>
  <si>
    <t>kh0042@example.vn</t>
  </si>
  <si>
    <t>0903 767 432</t>
  </si>
  <si>
    <t>DH00007</t>
  </si>
  <si>
    <t>CUS00043</t>
  </si>
  <si>
    <t>KH0043</t>
  </si>
  <si>
    <t>NCC0004</t>
  </si>
  <si>
    <t>Võ Thu Quân</t>
  </si>
  <si>
    <t>kh0043@example.vn</t>
  </si>
  <si>
    <t>0952 048 371</t>
  </si>
  <si>
    <t>Thảm tập yoga</t>
  </si>
  <si>
    <t>CT000019</t>
  </si>
  <si>
    <t>CUS00044</t>
  </si>
  <si>
    <t>KH0044</t>
  </si>
  <si>
    <t>Phạm Ngọc Phúc</t>
  </si>
  <si>
    <t>kh0044@example.vn</t>
  </si>
  <si>
    <t>0929 522 669</t>
  </si>
  <si>
    <t>DH00008</t>
  </si>
  <si>
    <t>CUS00045</t>
  </si>
  <si>
    <t>Dây kháng lực</t>
  </si>
  <si>
    <t>KH0045</t>
  </si>
  <si>
    <t>NCC0018</t>
  </si>
  <si>
    <t>kh0045@example.vn</t>
  </si>
  <si>
    <t>0975 412 217</t>
  </si>
  <si>
    <t>CUS00078</t>
  </si>
  <si>
    <t>CT000020</t>
  </si>
  <si>
    <t>SP032</t>
  </si>
  <si>
    <t>CUS00046</t>
  </si>
  <si>
    <t>KH0046</t>
  </si>
  <si>
    <t>Bùi Thanh Long</t>
  </si>
  <si>
    <t>KH0078</t>
  </si>
  <si>
    <t>Bình nước thể thao</t>
  </si>
  <si>
    <t>Sàn thương mại điện tử</t>
  </si>
  <si>
    <t>kh0046@example.vn</t>
  </si>
  <si>
    <t>0916 175 621</t>
  </si>
  <si>
    <t>CUS00047</t>
  </si>
  <si>
    <t>KH0047</t>
  </si>
  <si>
    <t>thuc_pham_va_do_uong</t>
  </si>
  <si>
    <t>Phạm Gia Bảo</t>
  </si>
  <si>
    <t>NCC0022</t>
  </si>
  <si>
    <t>kh0047@example.vn</t>
  </si>
  <si>
    <t>0924 595 384</t>
  </si>
  <si>
    <t>Bánh quy bơ hộp</t>
  </si>
  <si>
    <t>CT000021</t>
  </si>
  <si>
    <t>Thực phẩm và đồ uống</t>
  </si>
  <si>
    <t>CUS00048</t>
  </si>
  <si>
    <t>KH0048</t>
  </si>
  <si>
    <t>Nguyễn Minh Hạnh</t>
  </si>
  <si>
    <t>kh0048@example.vn</t>
  </si>
  <si>
    <t>0967 996 247</t>
  </si>
  <si>
    <t>SP034</t>
  </si>
  <si>
    <t>CUS00049</t>
  </si>
  <si>
    <t>KH0049</t>
  </si>
  <si>
    <t>Trà trái cây túi lọc</t>
  </si>
  <si>
    <t>Lê Ngọc Quân</t>
  </si>
  <si>
    <t>kh0049@example.vn</t>
  </si>
  <si>
    <t>0940 260 232</t>
  </si>
  <si>
    <t>SP035</t>
  </si>
  <si>
    <t>CT000022</t>
  </si>
  <si>
    <t>CUS00050</t>
  </si>
  <si>
    <t>KH0050</t>
  </si>
  <si>
    <t>Vũ Thanh Quân</t>
  </si>
  <si>
    <t>kh0050@example.vn</t>
  </si>
  <si>
    <t>0984 510 926</t>
  </si>
  <si>
    <t>Hạt dinh dưỡng</t>
  </si>
  <si>
    <t>CUS00051</t>
  </si>
  <si>
    <t>KH0051</t>
  </si>
  <si>
    <t>Đặng Thị Phúc</t>
  </si>
  <si>
    <t>SP036</t>
  </si>
  <si>
    <t>kh0051@example.vn</t>
  </si>
  <si>
    <t>0921 640 364</t>
  </si>
  <si>
    <t>Cà phê rang xay</t>
  </si>
  <si>
    <t>CUS00052</t>
  </si>
  <si>
    <t>KH0052</t>
  </si>
  <si>
    <t>CT000023</t>
  </si>
  <si>
    <t>Phan Gia An</t>
  </si>
  <si>
    <t>kh0052@example.vn</t>
  </si>
  <si>
    <t>0985 496 362</t>
  </si>
  <si>
    <t>SP037</t>
  </si>
  <si>
    <t>phu_kien</t>
  </si>
  <si>
    <t>CUS00053</t>
  </si>
  <si>
    <t>KH0053</t>
  </si>
  <si>
    <t>Cáp sạc Type-C</t>
  </si>
  <si>
    <t>Phụ kiện</t>
  </si>
  <si>
    <t>Huỳnh Quốc Nam</t>
  </si>
  <si>
    <t>kh0053@example.vn</t>
  </si>
  <si>
    <t>0959 786 478</t>
  </si>
  <si>
    <t>DH00009</t>
  </si>
  <si>
    <t>SP038</t>
  </si>
  <si>
    <t>CUS00054</t>
  </si>
  <si>
    <t>KH0054</t>
  </si>
  <si>
    <t>CT000024</t>
  </si>
  <si>
    <t>Lê Gia Châu</t>
  </si>
  <si>
    <t>kh0054@example.vn</t>
  </si>
  <si>
    <t>Giá đỡ điện thoại</t>
  </si>
  <si>
    <t>0995 836 755</t>
  </si>
  <si>
    <t>CUS00055</t>
  </si>
  <si>
    <t>KH0055</t>
  </si>
  <si>
    <t>Huỳnh Quốc Khánh</t>
  </si>
  <si>
    <t>kh0055@example.vn</t>
  </si>
  <si>
    <t>0995 519 242</t>
  </si>
  <si>
    <t>Ốp lưng chống sốc</t>
  </si>
  <si>
    <t>NCC0020</t>
  </si>
  <si>
    <t>CT000025</t>
  </si>
  <si>
    <t>kh0056@example.vn</t>
  </si>
  <si>
    <t>0951 181 761</t>
  </si>
  <si>
    <t>SP040</t>
  </si>
  <si>
    <t>Túi chống sốc laptop</t>
  </si>
  <si>
    <t>Võ Thị Lan</t>
  </si>
  <si>
    <t>kh0057@example.vn</t>
  </si>
  <si>
    <t>0975 526 714</t>
  </si>
  <si>
    <t>NCC0006</t>
  </si>
  <si>
    <t>CUS00058</t>
  </si>
  <si>
    <t>KH0058</t>
  </si>
  <si>
    <t>Nghệ An</t>
  </si>
  <si>
    <t>NA</t>
  </si>
  <si>
    <t>CT000026</t>
  </si>
  <si>
    <t>Võ Thanh Hùng</t>
  </si>
  <si>
    <t>kh0058@example.vn</t>
  </si>
  <si>
    <t>0910 342 736</t>
  </si>
  <si>
    <t>CUS00059</t>
  </si>
  <si>
    <t>KH0059</t>
  </si>
  <si>
    <t>Đỗ Thanh Vy</t>
  </si>
  <si>
    <t>kh0059@example.vn</t>
  </si>
  <si>
    <t>0905 043 778</t>
  </si>
  <si>
    <t>CUS00060</t>
  </si>
  <si>
    <t>CT000027</t>
  </si>
  <si>
    <t>KH0060</t>
  </si>
  <si>
    <t>Trần Thu Ngân</t>
  </si>
  <si>
    <t>kh0060@example.vn</t>
  </si>
  <si>
    <t>0985 364 752</t>
  </si>
  <si>
    <t>CUS00061</t>
  </si>
  <si>
    <t>KH0061</t>
  </si>
  <si>
    <t>Nguyễn Văn Lan</t>
  </si>
  <si>
    <t>kh0061@example.vn</t>
  </si>
  <si>
    <t>0920 551 124</t>
  </si>
  <si>
    <t>DH00010</t>
  </si>
  <si>
    <t>CUS00062</t>
  </si>
  <si>
    <t>KH0062</t>
  </si>
  <si>
    <t>kh0062@example.vn</t>
  </si>
  <si>
    <t>0925 211 905</t>
  </si>
  <si>
    <t>CT000028</t>
  </si>
  <si>
    <t>CUS00063</t>
  </si>
  <si>
    <t>KH0063</t>
  </si>
  <si>
    <t>Vũ Gia Hải</t>
  </si>
  <si>
    <t>kh0063@example.vn</t>
  </si>
  <si>
    <t>0930 931 250</t>
  </si>
  <si>
    <t>DH00011</t>
  </si>
  <si>
    <t>CUS00064</t>
  </si>
  <si>
    <t>KH0064</t>
  </si>
  <si>
    <t>NCC0010</t>
  </si>
  <si>
    <t>Võ Thị Ngân</t>
  </si>
  <si>
    <t>kh0064@example.vn</t>
  </si>
  <si>
    <t>0914 003 396</t>
  </si>
  <si>
    <t>CT000029</t>
  </si>
  <si>
    <t>CUS00065</t>
  </si>
  <si>
    <t>KH0065</t>
  </si>
  <si>
    <t>Phan Gia Phúc</t>
  </si>
  <si>
    <t>kh0065@example.vn</t>
  </si>
  <si>
    <t>0900 519 001</t>
  </si>
  <si>
    <t>CUS00066</t>
  </si>
  <si>
    <t>KH0066</t>
  </si>
  <si>
    <t>Bùi Minh Ngân</t>
  </si>
  <si>
    <t>NCC0007</t>
  </si>
  <si>
    <t>kh0066@example.vn</t>
  </si>
  <si>
    <t>0969 737 897</t>
  </si>
  <si>
    <t>CT000030</t>
  </si>
  <si>
    <t>CUS00067</t>
  </si>
  <si>
    <t>KH0067</t>
  </si>
  <si>
    <t>Nguyễn Gia An</t>
  </si>
  <si>
    <t>kh0067@example.vn</t>
  </si>
  <si>
    <t>0972 484 139</t>
  </si>
  <si>
    <t>CUS00068</t>
  </si>
  <si>
    <t>KH0068</t>
  </si>
  <si>
    <t>DH00012</t>
  </si>
  <si>
    <t>Phạm Thị Anh</t>
  </si>
  <si>
    <t>NCC0026</t>
  </si>
  <si>
    <t>kh0068@example.vn</t>
  </si>
  <si>
    <t>0954 443 695</t>
  </si>
  <si>
    <t>CT000031</t>
  </si>
  <si>
    <t>CUS00069</t>
  </si>
  <si>
    <t>KH0069</t>
  </si>
  <si>
    <t>Nguyễn Ngọc Bảo</t>
  </si>
  <si>
    <t>kh0069@example.vn</t>
  </si>
  <si>
    <t>0955 983 438</t>
  </si>
  <si>
    <t>CUS00070</t>
  </si>
  <si>
    <t>CT000032</t>
  </si>
  <si>
    <t>KH0070</t>
  </si>
  <si>
    <t>Nguyễn Minh Ngọc</t>
  </si>
  <si>
    <t>kh0070@example.vn</t>
  </si>
  <si>
    <t>0931 692 125</t>
  </si>
  <si>
    <t>DH00013</t>
  </si>
  <si>
    <t>CUS00071</t>
  </si>
  <si>
    <t>KH0071</t>
  </si>
  <si>
    <t>Võ Thị Khánh</t>
  </si>
  <si>
    <t>CT000033</t>
  </si>
  <si>
    <t>kh0071@example.vn</t>
  </si>
  <si>
    <t>0925 519 821</t>
  </si>
  <si>
    <t>CUS00072</t>
  </si>
  <si>
    <t>KH0072</t>
  </si>
  <si>
    <t>Phan Thị Trang</t>
  </si>
  <si>
    <t>kh0072@example.vn</t>
  </si>
  <si>
    <t>0932 411 775</t>
  </si>
  <si>
    <t>CT000034</t>
  </si>
  <si>
    <t>CUS00073</t>
  </si>
  <si>
    <t>KH0073</t>
  </si>
  <si>
    <t>Lê Văn Hùng</t>
  </si>
  <si>
    <t>kh0073@example.vn</t>
  </si>
  <si>
    <t>0905 946 015</t>
  </si>
  <si>
    <t>CUS00074</t>
  </si>
  <si>
    <t>KH0074</t>
  </si>
  <si>
    <t>CT000035</t>
  </si>
  <si>
    <t>Lê Minh Hiếu</t>
  </si>
  <si>
    <t>kh0074@example.vn</t>
  </si>
  <si>
    <t>0914 940 977</t>
  </si>
  <si>
    <t>CUS00075</t>
  </si>
  <si>
    <t>KH0075</t>
  </si>
  <si>
    <t>DH00014</t>
  </si>
  <si>
    <t>Hoàng Ngọc Vy</t>
  </si>
  <si>
    <t>kh0075@example.vn</t>
  </si>
  <si>
    <t>0941 550 252</t>
  </si>
  <si>
    <t>CT000036</t>
  </si>
  <si>
    <t>CUS00076</t>
  </si>
  <si>
    <t>KH0076</t>
  </si>
  <si>
    <t>Vũ Văn Anh</t>
  </si>
  <si>
    <t>DH00015</t>
  </si>
  <si>
    <t>kh0076@example.vn</t>
  </si>
  <si>
    <t>0930 256 079</t>
  </si>
  <si>
    <t>NCC0028</t>
  </si>
  <si>
    <t>CT000037</t>
  </si>
  <si>
    <t>CUS00077</t>
  </si>
  <si>
    <t>KH0077</t>
  </si>
  <si>
    <t>Bùi Gia Hà</t>
  </si>
  <si>
    <t>kh0077@example.vn</t>
  </si>
  <si>
    <t>0972 661 485</t>
  </si>
  <si>
    <t>Nguyễn Thanh Quân</t>
  </si>
  <si>
    <t>CT000038</t>
  </si>
  <si>
    <t>kh0078@example.vn</t>
  </si>
  <si>
    <t>0928 312 997</t>
  </si>
  <si>
    <t>CUS00079</t>
  </si>
  <si>
    <t>KH0079</t>
  </si>
  <si>
    <t>Đỗ Thu Mai</t>
  </si>
  <si>
    <t>kh0079@example.vn</t>
  </si>
  <si>
    <t>0968 211 653</t>
  </si>
  <si>
    <t>CT000039</t>
  </si>
  <si>
    <t>CUS00080</t>
  </si>
  <si>
    <t>KH0080</t>
  </si>
  <si>
    <t>Nguyễn Quốc Châu</t>
  </si>
  <si>
    <t>kh0080@example.vn</t>
  </si>
  <si>
    <t>0966 439 551</t>
  </si>
  <si>
    <t>DH00016</t>
  </si>
  <si>
    <t>NCC0013</t>
  </si>
  <si>
    <t>CT000040</t>
  </si>
  <si>
    <t>canceled</t>
  </si>
  <si>
    <t>CT000041</t>
  </si>
  <si>
    <t>CT000042</t>
  </si>
  <si>
    <t>CT000043</t>
  </si>
  <si>
    <t>DH00017</t>
  </si>
  <si>
    <t>CT000044</t>
  </si>
  <si>
    <t>CT000045</t>
  </si>
  <si>
    <t>DH00018</t>
  </si>
  <si>
    <t>CT000046</t>
  </si>
  <si>
    <t>NCC0012</t>
  </si>
  <si>
    <t>CT000047</t>
  </si>
  <si>
    <t>DH00019</t>
  </si>
  <si>
    <t>CT000048</t>
  </si>
  <si>
    <t>CT000049</t>
  </si>
  <si>
    <t>CT000050</t>
  </si>
  <si>
    <t>NCC0027</t>
  </si>
  <si>
    <t>CT000051</t>
  </si>
  <si>
    <t>DH00020</t>
  </si>
  <si>
    <t>CT000052</t>
  </si>
  <si>
    <t>CT000053</t>
  </si>
  <si>
    <t>DH00021</t>
  </si>
  <si>
    <t>CT000054</t>
  </si>
  <si>
    <t>DH00022</t>
  </si>
  <si>
    <t>NCC0014</t>
  </si>
  <si>
    <t>CT000055</t>
  </si>
  <si>
    <t>DH00023</t>
  </si>
  <si>
    <t>CT000056</t>
  </si>
  <si>
    <t>CT000057</t>
  </si>
  <si>
    <t>CT000058</t>
  </si>
  <si>
    <t>CT000059</t>
  </si>
  <si>
    <t>DH00024</t>
  </si>
  <si>
    <t>CT000060</t>
  </si>
  <si>
    <t>CT000061</t>
  </si>
  <si>
    <t>DH00025</t>
  </si>
  <si>
    <t>CT000062</t>
  </si>
  <si>
    <t>CT000063</t>
  </si>
  <si>
    <t>CT000064</t>
  </si>
  <si>
    <t>NCC0016</t>
  </si>
  <si>
    <t>CT000065</t>
  </si>
  <si>
    <t>DH00026</t>
  </si>
  <si>
    <t>CT000066</t>
  </si>
  <si>
    <t>CT000067</t>
  </si>
  <si>
    <t>DH00027</t>
  </si>
  <si>
    <t>CT000068</t>
  </si>
  <si>
    <t>CT000069</t>
  </si>
  <si>
    <t>CT000070</t>
  </si>
  <si>
    <t>CT000071</t>
  </si>
  <si>
    <t>DH00028</t>
  </si>
  <si>
    <t>CT000072</t>
  </si>
  <si>
    <t>CT000073</t>
  </si>
  <si>
    <t>CT000074</t>
  </si>
  <si>
    <t>payment_sequential</t>
  </si>
  <si>
    <t>payment_type</t>
  </si>
  <si>
    <t>payment_installments</t>
  </si>
  <si>
    <t>payment_value</t>
  </si>
  <si>
    <t>PaymentMethodVN</t>
  </si>
  <si>
    <t>DH00029</t>
  </si>
  <si>
    <t>CT000075</t>
  </si>
  <si>
    <t>bank_transfer</t>
  </si>
  <si>
    <t>processing</t>
  </si>
  <si>
    <t>CT000076</t>
  </si>
  <si>
    <t>cash_on_delivery</t>
  </si>
  <si>
    <t>e_wallet</t>
  </si>
  <si>
    <t>CT000077</t>
  </si>
  <si>
    <t>credit_card</t>
  </si>
  <si>
    <t>DH00030</t>
  </si>
  <si>
    <t>CT000078</t>
  </si>
  <si>
    <t>returned</t>
  </si>
  <si>
    <t>CT000079</t>
  </si>
  <si>
    <t>DH00031</t>
  </si>
  <si>
    <t>CT000080</t>
  </si>
  <si>
    <t>CT000081</t>
  </si>
  <si>
    <t>CT000082</t>
  </si>
  <si>
    <t>CT000083</t>
  </si>
  <si>
    <t>DH00032</t>
  </si>
  <si>
    <t>CT000084</t>
  </si>
  <si>
    <t>CT000085</t>
  </si>
  <si>
    <t>CT000086</t>
  </si>
  <si>
    <t>NCC0015</t>
  </si>
  <si>
    <t>CT000087</t>
  </si>
  <si>
    <t>DH00033</t>
  </si>
  <si>
    <t>CT000088</t>
  </si>
  <si>
    <t>CT000089</t>
  </si>
  <si>
    <t>DH00034</t>
  </si>
  <si>
    <t>CT000090</t>
  </si>
  <si>
    <t>CT000091</t>
  </si>
  <si>
    <t>DH00035</t>
  </si>
  <si>
    <t>CT000092</t>
  </si>
  <si>
    <t>DH00036</t>
  </si>
  <si>
    <t>CT000093</t>
  </si>
  <si>
    <t>CT000094</t>
  </si>
  <si>
    <t>DH00037</t>
  </si>
  <si>
    <t>CT000095</t>
  </si>
  <si>
    <t>CT000096</t>
  </si>
  <si>
    <t>DH00038</t>
  </si>
  <si>
    <t>CT000097</t>
  </si>
  <si>
    <t>CT000098</t>
  </si>
  <si>
    <t>CT000099</t>
  </si>
  <si>
    <t>DH00039</t>
  </si>
  <si>
    <t>CT000100</t>
  </si>
  <si>
    <t>CT000101</t>
  </si>
  <si>
    <t>DH00040</t>
  </si>
  <si>
    <t>DH00041</t>
  </si>
  <si>
    <t>CT000102</t>
  </si>
  <si>
    <t>DH00042</t>
  </si>
  <si>
    <t>DH00043</t>
  </si>
  <si>
    <t>CT000103</t>
  </si>
  <si>
    <t>DH00044</t>
  </si>
  <si>
    <t>NCC0024</t>
  </si>
  <si>
    <t>CT000104</t>
  </si>
  <si>
    <t>DH00045</t>
  </si>
  <si>
    <t>CT000105</t>
  </si>
  <si>
    <t>DH00046</t>
  </si>
  <si>
    <t>CT000106</t>
  </si>
  <si>
    <t>DH00047</t>
  </si>
  <si>
    <t>DH00048</t>
  </si>
  <si>
    <t>CT000107</t>
  </si>
  <si>
    <t>DH00049</t>
  </si>
  <si>
    <t>DH00050</t>
  </si>
  <si>
    <t>CT000108</t>
  </si>
  <si>
    <t>DH00051</t>
  </si>
  <si>
    <t>DH00052</t>
  </si>
  <si>
    <t>CT000109</t>
  </si>
  <si>
    <t>DH00053</t>
  </si>
  <si>
    <t>DH00054</t>
  </si>
  <si>
    <t>CT000110</t>
  </si>
  <si>
    <t>DH00055</t>
  </si>
  <si>
    <t>DH00056</t>
  </si>
  <si>
    <t>CT000111</t>
  </si>
  <si>
    <t>DH00057</t>
  </si>
  <si>
    <t>CT000112</t>
  </si>
  <si>
    <t>DH00058</t>
  </si>
  <si>
    <t>DH00059</t>
  </si>
  <si>
    <t>CT000113</t>
  </si>
  <si>
    <t>DH00060</t>
  </si>
  <si>
    <t>DH00061</t>
  </si>
  <si>
    <t>CT000114</t>
  </si>
  <si>
    <t>DH00062</t>
  </si>
  <si>
    <t>DH00063</t>
  </si>
  <si>
    <t>CT000115</t>
  </si>
  <si>
    <t>DH00064</t>
  </si>
  <si>
    <t>DH00065</t>
  </si>
  <si>
    <t>CT000116</t>
  </si>
  <si>
    <t>DH00066</t>
  </si>
  <si>
    <t>DH00067</t>
  </si>
  <si>
    <t>CT000117</t>
  </si>
  <si>
    <t>DH00068</t>
  </si>
  <si>
    <t>DH00069</t>
  </si>
  <si>
    <t>CT000118</t>
  </si>
  <si>
    <t>DH00070</t>
  </si>
  <si>
    <t>DH00071</t>
  </si>
  <si>
    <t>CT000119</t>
  </si>
  <si>
    <t>DH00072</t>
  </si>
  <si>
    <t>DH00073</t>
  </si>
  <si>
    <t>CT000120</t>
  </si>
  <si>
    <t>DH00074</t>
  </si>
  <si>
    <t>DH00075</t>
  </si>
  <si>
    <t>CT000121</t>
  </si>
  <si>
    <t>DH00076</t>
  </si>
  <si>
    <t>DH00077</t>
  </si>
  <si>
    <t>CT000122</t>
  </si>
  <si>
    <t>DH00078</t>
  </si>
  <si>
    <t>CT000123</t>
  </si>
  <si>
    <t>DH00079</t>
  </si>
  <si>
    <t>DH00080</t>
  </si>
  <si>
    <t>CT000124</t>
  </si>
  <si>
    <t>DH00081</t>
  </si>
  <si>
    <t>DH00082</t>
  </si>
  <si>
    <t>CT000125</t>
  </si>
  <si>
    <t>DH00083</t>
  </si>
  <si>
    <t>DH00084</t>
  </si>
  <si>
    <t>CT000126</t>
  </si>
  <si>
    <t>DH00085</t>
  </si>
  <si>
    <t>DH00086</t>
  </si>
  <si>
    <t>CT000127</t>
  </si>
  <si>
    <t>DH00087</t>
  </si>
  <si>
    <t>DH00088</t>
  </si>
  <si>
    <t>CT000128</t>
  </si>
  <si>
    <t>DH00089</t>
  </si>
  <si>
    <t>DH00090</t>
  </si>
  <si>
    <t>CT000129</t>
  </si>
  <si>
    <t>DH00091</t>
  </si>
  <si>
    <t>DH00092</t>
  </si>
  <si>
    <t>DH00093</t>
  </si>
  <si>
    <t>CT000130</t>
  </si>
  <si>
    <t>DH00094</t>
  </si>
  <si>
    <t>DH00095</t>
  </si>
  <si>
    <t>NCC0017</t>
  </si>
  <si>
    <t>DH00096</t>
  </si>
  <si>
    <t>CT000131</t>
  </si>
  <si>
    <t>DH00097</t>
  </si>
  <si>
    <t>DH00098</t>
  </si>
  <si>
    <t>CT000132</t>
  </si>
  <si>
    <t>DH00099</t>
  </si>
  <si>
    <t>DH00100</t>
  </si>
  <si>
    <t>CT000133</t>
  </si>
  <si>
    <t>DH00101</t>
  </si>
  <si>
    <t>DH00102</t>
  </si>
  <si>
    <t>DH00103</t>
  </si>
  <si>
    <t>CT000134</t>
  </si>
  <si>
    <t>DH00104</t>
  </si>
  <si>
    <t>DH00105</t>
  </si>
  <si>
    <t>CT000135</t>
  </si>
  <si>
    <t>DH00106</t>
  </si>
  <si>
    <t>DH00107</t>
  </si>
  <si>
    <t>CT000136</t>
  </si>
  <si>
    <t>DH00108</t>
  </si>
  <si>
    <t>DH00109</t>
  </si>
  <si>
    <t>CT000137</t>
  </si>
  <si>
    <t>DH00110</t>
  </si>
  <si>
    <t>DH00111</t>
  </si>
  <si>
    <t>CT000138</t>
  </si>
  <si>
    <t>DH00112</t>
  </si>
  <si>
    <t>CT000139</t>
  </si>
  <si>
    <t>DH00113</t>
  </si>
  <si>
    <t>DH00114</t>
  </si>
  <si>
    <t>CT000140</t>
  </si>
  <si>
    <t>DH00115</t>
  </si>
  <si>
    <t>CT000141</t>
  </si>
  <si>
    <t>DH00116</t>
  </si>
  <si>
    <t>DH00117</t>
  </si>
  <si>
    <t>CT000142</t>
  </si>
  <si>
    <t>DH00118</t>
  </si>
  <si>
    <t>DH00119</t>
  </si>
  <si>
    <t>CT000143</t>
  </si>
  <si>
    <t>DH00120</t>
  </si>
  <si>
    <t>DH00121</t>
  </si>
  <si>
    <t>CT000144</t>
  </si>
  <si>
    <t>DH00122</t>
  </si>
  <si>
    <t>CT000145</t>
  </si>
  <si>
    <t>DH00123</t>
  </si>
  <si>
    <t>DH00124</t>
  </si>
  <si>
    <t>CT000146</t>
  </si>
  <si>
    <t>DH00125</t>
  </si>
  <si>
    <t>CT000147</t>
  </si>
  <si>
    <t>DH00126</t>
  </si>
  <si>
    <t>DH00127</t>
  </si>
  <si>
    <t>CT000148</t>
  </si>
  <si>
    <t>DH00128</t>
  </si>
  <si>
    <t>DH00129</t>
  </si>
  <si>
    <t>CT000149</t>
  </si>
  <si>
    <t>DH00130</t>
  </si>
  <si>
    <t>CT000150</t>
  </si>
  <si>
    <t>DH00131</t>
  </si>
  <si>
    <t>DH00132</t>
  </si>
  <si>
    <t>CT000151</t>
  </si>
  <si>
    <t>DH00133</t>
  </si>
  <si>
    <t>CT000152</t>
  </si>
  <si>
    <t>DH00134</t>
  </si>
  <si>
    <t>DH00135</t>
  </si>
  <si>
    <t>CT000153</t>
  </si>
  <si>
    <t>DH00136</t>
  </si>
  <si>
    <t>DH00137</t>
  </si>
  <si>
    <t>DH00138</t>
  </si>
  <si>
    <t>CT000154</t>
  </si>
  <si>
    <t>DH00139</t>
  </si>
  <si>
    <t>CT000155</t>
  </si>
  <si>
    <t>DH00140</t>
  </si>
  <si>
    <t>DH00141</t>
  </si>
  <si>
    <t>CT000156</t>
  </si>
  <si>
    <t>DH00142</t>
  </si>
  <si>
    <t>CT000157</t>
  </si>
  <si>
    <t>DH00143</t>
  </si>
  <si>
    <t>DH00144</t>
  </si>
  <si>
    <t>CT000158</t>
  </si>
  <si>
    <t>DH00145</t>
  </si>
  <si>
    <t>DH00146</t>
  </si>
  <si>
    <t>CT000159</t>
  </si>
  <si>
    <t>DH00147</t>
  </si>
  <si>
    <t>DH00148</t>
  </si>
  <si>
    <t>CT000160</t>
  </si>
  <si>
    <t>DH00149</t>
  </si>
  <si>
    <t>CT000161</t>
  </si>
  <si>
    <t>DH00150</t>
  </si>
  <si>
    <t>DH00151</t>
  </si>
  <si>
    <t>CT000162</t>
  </si>
  <si>
    <t>CT000163</t>
  </si>
  <si>
    <t>DH00152</t>
  </si>
  <si>
    <t>DH00153</t>
  </si>
  <si>
    <t>CT000164</t>
  </si>
  <si>
    <t>DH00154</t>
  </si>
  <si>
    <t>CT000165</t>
  </si>
  <si>
    <t>DH00155</t>
  </si>
  <si>
    <t>DH00156</t>
  </si>
  <si>
    <t>CT000166</t>
  </si>
  <si>
    <t>DH00157</t>
  </si>
  <si>
    <t>DH00158</t>
  </si>
  <si>
    <t>CT000167</t>
  </si>
  <si>
    <t>DH00159</t>
  </si>
  <si>
    <t>CT000168</t>
  </si>
  <si>
    <t>DH00160</t>
  </si>
  <si>
    <t>DH00161</t>
  </si>
  <si>
    <t>CT000169</t>
  </si>
  <si>
    <t>DH00162</t>
  </si>
  <si>
    <t>CT000170</t>
  </si>
  <si>
    <t>DH00163</t>
  </si>
  <si>
    <t>DH00164</t>
  </si>
  <si>
    <t>CT000171</t>
  </si>
  <si>
    <t>DH00165</t>
  </si>
  <si>
    <t>DH00166</t>
  </si>
  <si>
    <t>CT000172</t>
  </si>
  <si>
    <t>DH00167</t>
  </si>
  <si>
    <t>CT000173</t>
  </si>
  <si>
    <t>DH00168</t>
  </si>
  <si>
    <t>DH00169</t>
  </si>
  <si>
    <t>CT000174</t>
  </si>
  <si>
    <t>DH00170</t>
  </si>
  <si>
    <t>CT000175</t>
  </si>
  <si>
    <t>DH00171</t>
  </si>
  <si>
    <t>DH00172</t>
  </si>
  <si>
    <t>CT000176</t>
  </si>
  <si>
    <t>DH00173</t>
  </si>
  <si>
    <t>DH00174</t>
  </si>
  <si>
    <t>CT000177</t>
  </si>
  <si>
    <t>DH00175</t>
  </si>
  <si>
    <t>CT000178</t>
  </si>
  <si>
    <t>DH00176</t>
  </si>
  <si>
    <t>DH00177</t>
  </si>
  <si>
    <t>DH00178</t>
  </si>
  <si>
    <t>CT000179</t>
  </si>
  <si>
    <t>DH00179</t>
  </si>
  <si>
    <t>CT000180</t>
  </si>
  <si>
    <t>DH00180</t>
  </si>
  <si>
    <t>DH00181</t>
  </si>
  <si>
    <t>CT000181</t>
  </si>
  <si>
    <t>DH00182</t>
  </si>
  <si>
    <t>CT000182</t>
  </si>
  <si>
    <t>DH00183</t>
  </si>
  <si>
    <t>DH00184</t>
  </si>
  <si>
    <t>CT000183</t>
  </si>
  <si>
    <t>DH00185</t>
  </si>
  <si>
    <t>DH00186</t>
  </si>
  <si>
    <t>CT000184</t>
  </si>
  <si>
    <t>DH00187</t>
  </si>
  <si>
    <t>CT000185</t>
  </si>
  <si>
    <t>DH00188</t>
  </si>
  <si>
    <t>DH00189</t>
  </si>
  <si>
    <t>CT000186</t>
  </si>
  <si>
    <t>DH00190</t>
  </si>
  <si>
    <t>DH00191</t>
  </si>
  <si>
    <t>CT000187</t>
  </si>
  <si>
    <t>DH00192</t>
  </si>
  <si>
    <t>CT000188</t>
  </si>
  <si>
    <t>DH00193</t>
  </si>
  <si>
    <t>DH00194</t>
  </si>
  <si>
    <t>CT000189</t>
  </si>
  <si>
    <t>DH00195</t>
  </si>
  <si>
    <t>CT000190</t>
  </si>
  <si>
    <t>DH00196</t>
  </si>
  <si>
    <t>DH00197</t>
  </si>
  <si>
    <t>CT000191</t>
  </si>
  <si>
    <t>DH00198</t>
  </si>
  <si>
    <t>CT000192</t>
  </si>
  <si>
    <t>DH00199</t>
  </si>
  <si>
    <t>DH00200</t>
  </si>
  <si>
    <t>CT000193</t>
  </si>
  <si>
    <t>CT000194</t>
  </si>
  <si>
    <t>CT000195</t>
  </si>
  <si>
    <t>CT000196</t>
  </si>
  <si>
    <t>CT000197</t>
  </si>
  <si>
    <t>CT000198</t>
  </si>
  <si>
    <t>CT000199</t>
  </si>
  <si>
    <t>CT000200</t>
  </si>
  <si>
    <t>CT000201</t>
  </si>
  <si>
    <t>CT000202</t>
  </si>
  <si>
    <t>CT000203</t>
  </si>
  <si>
    <t>CT000204</t>
  </si>
  <si>
    <t>CT000205</t>
  </si>
  <si>
    <t>CT000206</t>
  </si>
  <si>
    <t>CT000207</t>
  </si>
  <si>
    <t>CT000208</t>
  </si>
  <si>
    <t>CT000209</t>
  </si>
  <si>
    <t>CT000210</t>
  </si>
  <si>
    <t>CT000211</t>
  </si>
  <si>
    <t>CT000212</t>
  </si>
  <si>
    <t>CT000213</t>
  </si>
  <si>
    <t>CT000214</t>
  </si>
  <si>
    <t>CT000215</t>
  </si>
  <si>
    <t>CT000216</t>
  </si>
  <si>
    <t>CT000217</t>
  </si>
  <si>
    <t>CT000218</t>
  </si>
  <si>
    <t>CT000219</t>
  </si>
  <si>
    <t>CT000220</t>
  </si>
  <si>
    <t>CT000221</t>
  </si>
  <si>
    <t>CT000222</t>
  </si>
  <si>
    <t>CT000223</t>
  </si>
  <si>
    <t>CT000224</t>
  </si>
  <si>
    <t>CT000225</t>
  </si>
  <si>
    <t>CT000226</t>
  </si>
  <si>
    <t>CT000227</t>
  </si>
  <si>
    <t>CT000228</t>
  </si>
  <si>
    <t>CT000229</t>
  </si>
  <si>
    <t>CT000230</t>
  </si>
  <si>
    <t>CT000231</t>
  </si>
  <si>
    <t>CT000232</t>
  </si>
  <si>
    <t>CT000233</t>
  </si>
  <si>
    <t>CT000234</t>
  </si>
  <si>
    <t>CT000235</t>
  </si>
  <si>
    <t>CT000236</t>
  </si>
  <si>
    <t>CT000237</t>
  </si>
  <si>
    <t>CT000238</t>
  </si>
  <si>
    <t>CT000239</t>
  </si>
  <si>
    <t>CT000240</t>
  </si>
  <si>
    <t>CT000241</t>
  </si>
  <si>
    <t>CT000242</t>
  </si>
  <si>
    <t>CT000243</t>
  </si>
  <si>
    <t>CT000244</t>
  </si>
  <si>
    <t>CT000245</t>
  </si>
  <si>
    <t>CT000246</t>
  </si>
  <si>
    <t>CT000247</t>
  </si>
  <si>
    <t>CT000248</t>
  </si>
  <si>
    <t>CT000249</t>
  </si>
  <si>
    <t>CT000250</t>
  </si>
  <si>
    <t>CT000251</t>
  </si>
  <si>
    <t>CT000252</t>
  </si>
  <si>
    <t>CT000253</t>
  </si>
  <si>
    <t>CT000254</t>
  </si>
  <si>
    <t>CT000255</t>
  </si>
  <si>
    <t>CT000256</t>
  </si>
  <si>
    <t>CT000257</t>
  </si>
  <si>
    <t>CT000258</t>
  </si>
  <si>
    <t>CT000259</t>
  </si>
  <si>
    <t>CT000260</t>
  </si>
  <si>
    <t>CT000261</t>
  </si>
  <si>
    <t>CT000262</t>
  </si>
  <si>
    <t>CT000263</t>
  </si>
  <si>
    <t>CT000264</t>
  </si>
  <si>
    <t>CT000265</t>
  </si>
  <si>
    <t>CT000266</t>
  </si>
  <si>
    <t>CT000267</t>
  </si>
  <si>
    <t>CT000268</t>
  </si>
  <si>
    <t>CT000269</t>
  </si>
  <si>
    <t>CT000270</t>
  </si>
  <si>
    <t>CT000271</t>
  </si>
  <si>
    <t>CT000272</t>
  </si>
  <si>
    <t>CT000273</t>
  </si>
  <si>
    <t>CT000274</t>
  </si>
  <si>
    <t>CT000275</t>
  </si>
  <si>
    <t>CT000276</t>
  </si>
  <si>
    <t>CT000277</t>
  </si>
  <si>
    <t>CT000278</t>
  </si>
  <si>
    <t>CT000279</t>
  </si>
  <si>
    <t>CT000280</t>
  </si>
  <si>
    <t>CT000281</t>
  </si>
  <si>
    <t>CT000282</t>
  </si>
  <si>
    <t>CT000283</t>
  </si>
  <si>
    <t>CT000284</t>
  </si>
  <si>
    <t>CT000285</t>
  </si>
  <si>
    <t>CT000286</t>
  </si>
  <si>
    <t>CT000287</t>
  </si>
  <si>
    <t>CT000288</t>
  </si>
  <si>
    <t>CT000289</t>
  </si>
  <si>
    <t>CT000290</t>
  </si>
  <si>
    <t>CT000291</t>
  </si>
  <si>
    <t>CT000292</t>
  </si>
  <si>
    <t>CT000293</t>
  </si>
  <si>
    <t>CT000294</t>
  </si>
  <si>
    <t>CT000295</t>
  </si>
  <si>
    <t>CT000296</t>
  </si>
  <si>
    <t>CT000297</t>
  </si>
  <si>
    <t>CT000298</t>
  </si>
  <si>
    <t>CT000299</t>
  </si>
  <si>
    <t>CT000300</t>
  </si>
  <si>
    <t>CT000301</t>
  </si>
  <si>
    <t>CT000302</t>
  </si>
  <si>
    <t>CT000303</t>
  </si>
  <si>
    <t>CT000304</t>
  </si>
  <si>
    <t>CT000305</t>
  </si>
  <si>
    <t>CT000306</t>
  </si>
  <si>
    <t>CT000307</t>
  </si>
  <si>
    <t>CT000308</t>
  </si>
  <si>
    <t>CT000309</t>
  </si>
  <si>
    <t>CT000310</t>
  </si>
  <si>
    <t>CT000311</t>
  </si>
  <si>
    <t>CT000312</t>
  </si>
  <si>
    <t>CT000313</t>
  </si>
  <si>
    <t>CT000314</t>
  </si>
  <si>
    <t>CT000315</t>
  </si>
  <si>
    <t>CT000316</t>
  </si>
  <si>
    <t>CT000317</t>
  </si>
  <si>
    <t>CT000318</t>
  </si>
  <si>
    <t>CT000319</t>
  </si>
  <si>
    <t>CT000320</t>
  </si>
  <si>
    <t>CT000321</t>
  </si>
  <si>
    <t>CT000322</t>
  </si>
  <si>
    <t>CT000323</t>
  </si>
  <si>
    <t>CT000324</t>
  </si>
  <si>
    <t>CT000325</t>
  </si>
  <si>
    <t>CT000326</t>
  </si>
  <si>
    <t>CT000327</t>
  </si>
  <si>
    <t>CT000328</t>
  </si>
  <si>
    <t>CT000329</t>
  </si>
  <si>
    <t>CT000330</t>
  </si>
  <si>
    <t>CT000331</t>
  </si>
  <si>
    <t>CT000332</t>
  </si>
  <si>
    <t>CT000333</t>
  </si>
  <si>
    <t>CT000334</t>
  </si>
  <si>
    <t>CT000335</t>
  </si>
  <si>
    <t>CT000336</t>
  </si>
  <si>
    <t>CT000337</t>
  </si>
  <si>
    <t>CT000338</t>
  </si>
  <si>
    <t>CT000339</t>
  </si>
  <si>
    <t>CT000340</t>
  </si>
  <si>
    <t>CT000341</t>
  </si>
  <si>
    <t>CT000342</t>
  </si>
  <si>
    <t>CT000343</t>
  </si>
  <si>
    <t>CT000344</t>
  </si>
  <si>
    <t>CT000345</t>
  </si>
  <si>
    <t>CT000346</t>
  </si>
  <si>
    <t>CT000347</t>
  </si>
  <si>
    <t>CT000348</t>
  </si>
  <si>
    <t>CT000349</t>
  </si>
  <si>
    <t>CT000350</t>
  </si>
  <si>
    <t>CT000351</t>
  </si>
  <si>
    <t>CT000352</t>
  </si>
  <si>
    <t>CT000353</t>
  </si>
  <si>
    <t>CT000354</t>
  </si>
  <si>
    <t>CT000355</t>
  </si>
  <si>
    <t>CT000356</t>
  </si>
  <si>
    <t>CT000357</t>
  </si>
  <si>
    <t>CT000358</t>
  </si>
  <si>
    <t>CT000359</t>
  </si>
  <si>
    <t>CT000360</t>
  </si>
  <si>
    <t>CT000361</t>
  </si>
  <si>
    <t>CT000362</t>
  </si>
  <si>
    <t>CT000363</t>
  </si>
  <si>
    <t>CT000364</t>
  </si>
  <si>
    <t>CT000365</t>
  </si>
  <si>
    <t>CT000366</t>
  </si>
  <si>
    <t>CT000367</t>
  </si>
  <si>
    <t>CT000368</t>
  </si>
  <si>
    <t>CT000369</t>
  </si>
  <si>
    <t>CT000370</t>
  </si>
  <si>
    <t>CT000371</t>
  </si>
  <si>
    <t>CT000372</t>
  </si>
  <si>
    <t>CT000373</t>
  </si>
  <si>
    <t>CT000374</t>
  </si>
  <si>
    <t>CT000375</t>
  </si>
  <si>
    <t>CT000376</t>
  </si>
  <si>
    <t>CT000377</t>
  </si>
  <si>
    <t>CT000378</t>
  </si>
  <si>
    <t>CT000379</t>
  </si>
  <si>
    <t>CT000380</t>
  </si>
  <si>
    <t>CT000381</t>
  </si>
  <si>
    <t>CT000382</t>
  </si>
  <si>
    <t>CT000383</t>
  </si>
  <si>
    <t>CT000384</t>
  </si>
  <si>
    <t>CT000385</t>
  </si>
  <si>
    <t>CT000386</t>
  </si>
  <si>
    <t>CT000387</t>
  </si>
  <si>
    <t>CT000388</t>
  </si>
  <si>
    <t>CT000389</t>
  </si>
  <si>
    <t>CT000390</t>
  </si>
  <si>
    <t>CT000391</t>
  </si>
  <si>
    <t>CT000392</t>
  </si>
  <si>
    <t>CT000393</t>
  </si>
  <si>
    <t>CT000394</t>
  </si>
  <si>
    <t>CT000395</t>
  </si>
  <si>
    <t>CT000396</t>
  </si>
  <si>
    <t>CT000397</t>
  </si>
  <si>
    <t>CT000398</t>
  </si>
  <si>
    <t>CT000399</t>
  </si>
  <si>
    <t>CT000400</t>
  </si>
  <si>
    <t>CT000401</t>
  </si>
  <si>
    <t>CT000402</t>
  </si>
  <si>
    <t>CT000403</t>
  </si>
  <si>
    <t>CT000404</t>
  </si>
  <si>
    <t>CT000405</t>
  </si>
  <si>
    <t>CT000406</t>
  </si>
  <si>
    <t>CT000407</t>
  </si>
  <si>
    <t>CT000408</t>
  </si>
  <si>
    <t>CT000409</t>
  </si>
  <si>
    <t>CT000410</t>
  </si>
  <si>
    <t>CT000411</t>
  </si>
  <si>
    <t>CT000412</t>
  </si>
  <si>
    <t>CT000413</t>
  </si>
  <si>
    <t>CT000414</t>
  </si>
  <si>
    <t>CT000415</t>
  </si>
  <si>
    <t>CT000416</t>
  </si>
  <si>
    <t>CT000417</t>
  </si>
  <si>
    <t>CT000418</t>
  </si>
  <si>
    <t>CT000419</t>
  </si>
  <si>
    <t>CT000420</t>
  </si>
  <si>
    <t>CT000421</t>
  </si>
  <si>
    <t>CT000422</t>
  </si>
  <si>
    <t>CT000423</t>
  </si>
  <si>
    <t>CT000424</t>
  </si>
  <si>
    <t>CT000425</t>
  </si>
  <si>
    <t>CT000426</t>
  </si>
  <si>
    <t>CT000427</t>
  </si>
  <si>
    <t>CT000428</t>
  </si>
  <si>
    <t>CT000429</t>
  </si>
  <si>
    <t>CT000430</t>
  </si>
  <si>
    <t>CT000431</t>
  </si>
  <si>
    <t>CT000432</t>
  </si>
  <si>
    <t>CT000433</t>
  </si>
  <si>
    <t>CT000434</t>
  </si>
  <si>
    <t>CT000435</t>
  </si>
  <si>
    <t>CT000436</t>
  </si>
  <si>
    <t>CT000437</t>
  </si>
  <si>
    <t>CT000438</t>
  </si>
  <si>
    <t>CT000439</t>
  </si>
  <si>
    <t>CT000440</t>
  </si>
  <si>
    <t>CT000441</t>
  </si>
  <si>
    <t>CT000442</t>
  </si>
  <si>
    <t>CT000443</t>
  </si>
  <si>
    <t>CT000444</t>
  </si>
  <si>
    <t>CT000445</t>
  </si>
  <si>
    <t>CT000446</t>
  </si>
  <si>
    <t>CT000447</t>
  </si>
  <si>
    <t>CT000448</t>
  </si>
  <si>
    <t>CT000449</t>
  </si>
  <si>
    <t>CT000450</t>
  </si>
  <si>
    <t>CT000451</t>
  </si>
  <si>
    <t>CT000452</t>
  </si>
  <si>
    <t>CT000453</t>
  </si>
  <si>
    <t>CT000454</t>
  </si>
  <si>
    <t>CT000455</t>
  </si>
  <si>
    <t>CT000456</t>
  </si>
  <si>
    <t>CT000457</t>
  </si>
  <si>
    <t>CT000458</t>
  </si>
  <si>
    <t>CT000459</t>
  </si>
  <si>
    <t>CT000460</t>
  </si>
  <si>
    <t>CT000461</t>
  </si>
  <si>
    <t>CT000462</t>
  </si>
  <si>
    <t>CT000463</t>
  </si>
  <si>
    <t>CT000464</t>
  </si>
  <si>
    <t>CT000465</t>
  </si>
  <si>
    <t>review_id</t>
  </si>
  <si>
    <t>review_score</t>
  </si>
  <si>
    <t>review_comment_title</t>
  </si>
  <si>
    <t>review_comment_message</t>
  </si>
  <si>
    <t>review_creation_date</t>
  </si>
  <si>
    <t>review_answer_timestamp</t>
  </si>
  <si>
    <t>Channel</t>
  </si>
  <si>
    <t>CT000466</t>
  </si>
  <si>
    <t>CT000467</t>
  </si>
  <si>
    <t>TT00001</t>
  </si>
  <si>
    <t>Hài lòng</t>
  </si>
  <si>
    <t>Sản phẩm đúng mô tả, đóng gói cẩn thận.</t>
  </si>
  <si>
    <t>Website/App</t>
  </si>
  <si>
    <t>TT00002</t>
  </si>
  <si>
    <t>CT000468</t>
  </si>
  <si>
    <t>Hài lòng với sản phẩm và dịch vụ.</t>
  </si>
  <si>
    <t>TT00003</t>
  </si>
  <si>
    <t>Bình thường</t>
  </si>
  <si>
    <t>Giao hàng nhanh, chất lượng tốt.</t>
  </si>
  <si>
    <t>CT000469</t>
  </si>
  <si>
    <t>TT00004</t>
  </si>
  <si>
    <t>TT00005</t>
  </si>
  <si>
    <t>CT000470</t>
  </si>
  <si>
    <t>TT00006</t>
  </si>
  <si>
    <t>Sẽ tiếp tục ủng hộ cửa hàng.</t>
  </si>
  <si>
    <t>TT00007</t>
  </si>
  <si>
    <t>TT00008</t>
  </si>
  <si>
    <t>Sản phẩm đẹp, giá hợp lý.</t>
  </si>
  <si>
    <t>TT00009</t>
  </si>
  <si>
    <t>CT000471</t>
  </si>
  <si>
    <t>TT00010</t>
  </si>
  <si>
    <t>TT00011</t>
  </si>
  <si>
    <t>CT000472</t>
  </si>
  <si>
    <t>TT00012</t>
  </si>
  <si>
    <t>TT00013</t>
  </si>
  <si>
    <t>CT000473</t>
  </si>
  <si>
    <t>Cần cải thiện</t>
  </si>
  <si>
    <t>Sản phẩm chưa đúng kỳ vọng.</t>
  </si>
  <si>
    <t>TT00014</t>
  </si>
  <si>
    <t>TT00015</t>
  </si>
  <si>
    <t>TT00016</t>
  </si>
  <si>
    <t>CT000474</t>
  </si>
  <si>
    <t>TT00017</t>
  </si>
  <si>
    <t>TT00018</t>
  </si>
  <si>
    <t>CT000475</t>
  </si>
  <si>
    <t>TT00019</t>
  </si>
  <si>
    <t>TT00020</t>
  </si>
  <si>
    <t>CT000476</t>
  </si>
  <si>
    <t>TT00021</t>
  </si>
  <si>
    <t>TT00022</t>
  </si>
  <si>
    <t>CT000477</t>
  </si>
  <si>
    <t>TT00023</t>
  </si>
  <si>
    <t>TT00024</t>
  </si>
  <si>
    <t>CT000478</t>
  </si>
  <si>
    <t>TT00025</t>
  </si>
  <si>
    <t>TT00026</t>
  </si>
  <si>
    <t>TT00027</t>
  </si>
  <si>
    <t>CT000479</t>
  </si>
  <si>
    <t>TT00028</t>
  </si>
  <si>
    <t>TT00029</t>
  </si>
  <si>
    <t>CT000480</t>
  </si>
  <si>
    <t>TT00030</t>
  </si>
  <si>
    <t>TT00031</t>
  </si>
  <si>
    <t>CT000481</t>
  </si>
  <si>
    <t>Giao hàng chậm hơn dự kiến.</t>
  </si>
  <si>
    <t>TT00032</t>
  </si>
  <si>
    <t>TT00033</t>
  </si>
  <si>
    <t>CT000482</t>
  </si>
  <si>
    <t>TT00034</t>
  </si>
  <si>
    <t>TT00035</t>
  </si>
  <si>
    <t>CT000483</t>
  </si>
  <si>
    <t>TT00036</t>
  </si>
  <si>
    <t>TT00037</t>
  </si>
  <si>
    <t>CT000484</t>
  </si>
  <si>
    <t>TT00038</t>
  </si>
  <si>
    <t>TT00039</t>
  </si>
  <si>
    <t>TT00040</t>
  </si>
  <si>
    <t>TT00041</t>
  </si>
  <si>
    <t>CT000485</t>
  </si>
  <si>
    <t>TT00042</t>
  </si>
  <si>
    <t>TT00043</t>
  </si>
  <si>
    <t>CT000486</t>
  </si>
  <si>
    <t>TT00044</t>
  </si>
  <si>
    <t>TT00045</t>
  </si>
  <si>
    <t>CT000487</t>
  </si>
  <si>
    <t>TT00046</t>
  </si>
  <si>
    <t>CT000488</t>
  </si>
  <si>
    <t>TT00047</t>
  </si>
  <si>
    <t>TT00048</t>
  </si>
  <si>
    <t>CT000489</t>
  </si>
  <si>
    <t>TT00049</t>
  </si>
  <si>
    <t>CT000490</t>
  </si>
  <si>
    <t>TT00050</t>
  </si>
  <si>
    <t>TT00051</t>
  </si>
  <si>
    <t>CT000491</t>
  </si>
  <si>
    <t>TT00052</t>
  </si>
  <si>
    <t>CT000492</t>
  </si>
  <si>
    <t>TT00053</t>
  </si>
  <si>
    <t>CT000493</t>
  </si>
  <si>
    <t>TT00054</t>
  </si>
  <si>
    <t>TT00055</t>
  </si>
  <si>
    <t>TT00056</t>
  </si>
  <si>
    <t>CT000494</t>
  </si>
  <si>
    <t>TT00057</t>
  </si>
  <si>
    <t>TT00058</t>
  </si>
  <si>
    <t>CT000495</t>
  </si>
  <si>
    <t>TT00059</t>
  </si>
  <si>
    <t>TT00060</t>
  </si>
  <si>
    <t>CT000496</t>
  </si>
  <si>
    <t>TT00061</t>
  </si>
  <si>
    <t>CT000497</t>
  </si>
  <si>
    <t>TT00062</t>
  </si>
  <si>
    <t>CT000498</t>
  </si>
  <si>
    <t>TT00063</t>
  </si>
  <si>
    <t>TT00064</t>
  </si>
  <si>
    <t>CT000499</t>
  </si>
  <si>
    <t>TT00065</t>
  </si>
  <si>
    <t>CT000500</t>
  </si>
  <si>
    <t>TT00066</t>
  </si>
  <si>
    <t>TT00067</t>
  </si>
  <si>
    <t>CT000501</t>
  </si>
  <si>
    <t>TT00068</t>
  </si>
  <si>
    <t>CT000502</t>
  </si>
  <si>
    <t>TT00069</t>
  </si>
  <si>
    <t>TT00070</t>
  </si>
  <si>
    <t>CT000503</t>
  </si>
  <si>
    <t>TT00071</t>
  </si>
  <si>
    <t>CT000504</t>
  </si>
  <si>
    <t>Cần cải thiện khâu đóng gói.</t>
  </si>
  <si>
    <t>TT00072</t>
  </si>
  <si>
    <t>CT000505</t>
  </si>
  <si>
    <t>TT00073</t>
  </si>
  <si>
    <t>TT00074</t>
  </si>
  <si>
    <t>CT000506</t>
  </si>
  <si>
    <t>TT00075</t>
  </si>
  <si>
    <t>CT000507</t>
  </si>
  <si>
    <t>TT00076</t>
  </si>
  <si>
    <t>TT00077</t>
  </si>
  <si>
    <t>CT000508</t>
  </si>
  <si>
    <t>TT00078</t>
  </si>
  <si>
    <t>CT000509</t>
  </si>
  <si>
    <t>TT00079</t>
  </si>
  <si>
    <t>TT00080</t>
  </si>
  <si>
    <t>TT00081</t>
  </si>
  <si>
    <t>TT00082</t>
  </si>
  <si>
    <t>TT00083</t>
  </si>
  <si>
    <t>TT00084</t>
  </si>
  <si>
    <t>Bao bì bị móp nhẹ khi nhận.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</si>
  <si>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</si>
  <si>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</si>
  <si>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</si>
  <si>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</si>
  <si>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</si>
  <si>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</si>
  <si>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</si>
  <si>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</si>
  <si>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</si>
  <si>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</si>
  <si>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</si>
  <si>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</si>
  <si>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</si>
  <si>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</si>
  <si>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</si>
  <si>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</si>
  <si>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</si>
  <si>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</si>
  <si>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</si>
  <si>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</si>
  <si>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</si>
  <si>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</si>
  <si>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</si>
  <si>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</si>
  <si>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</si>
  <si>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</si>
  <si>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</si>
  <si>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</si>
  <si>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</si>
  <si>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</si>
  <si>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</si>
  <si>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</si>
  <si>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</si>
  <si>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</si>
  <si>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</si>
  <si>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</si>
  <si>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</si>
  <si>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</si>
  <si>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</si>
  <si>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</si>
  <si>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</si>
  <si>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</si>
  <si>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</si>
  <si>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</si>
  <si>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</si>
  <si>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</si>
  <si>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</si>
  <si>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</si>
  <si>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</si>
  <si>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</si>
  <si>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</si>
  <si>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</si>
  <si>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</si>
  <si>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</si>
  <si>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</si>
  <si>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</si>
  <si>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</si>
  <si>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seller_zip_code_prefix</t>
  </si>
  <si>
    <t>seller_city</t>
  </si>
  <si>
    <t>seller_state</t>
  </si>
  <si>
    <t>SellerName</t>
  </si>
  <si>
    <t>Nhà bán hàng 01</t>
  </si>
  <si>
    <t>Nhà bán hàng 02</t>
  </si>
  <si>
    <t>Nhà bán hàng 03</t>
  </si>
  <si>
    <t>Nhà bán hàng 04</t>
  </si>
  <si>
    <t>Nhà bán hàng 05</t>
  </si>
  <si>
    <t>Nhà bán hàng 06</t>
  </si>
  <si>
    <t>Nhà bán hàng 07</t>
  </si>
  <si>
    <t>Nhà bán hàng 08</t>
  </si>
  <si>
    <t>geolocation_zip_code_prefix</t>
  </si>
  <si>
    <t>geolocation_lat</t>
  </si>
  <si>
    <t>Nhà bán hàng 09</t>
  </si>
  <si>
    <t>geolocation_lng</t>
  </si>
  <si>
    <t>geolocation_city</t>
  </si>
  <si>
    <t>geolocation_state</t>
  </si>
  <si>
    <t>Nhà bán hàng 10</t>
  </si>
  <si>
    <t>Nhà bán hàng 11</t>
  </si>
  <si>
    <t>Nhà bán hàng 12</t>
  </si>
  <si>
    <t>Nhà bán hàng 13</t>
  </si>
  <si>
    <t>Nhà bán hàng 14</t>
  </si>
  <si>
    <t>Nhà bán hàng 15</t>
  </si>
  <si>
    <t>Nhà bán hàng 16</t>
  </si>
  <si>
    <t>Nhà bán hàng 17</t>
  </si>
  <si>
    <t>Nhà bán hàng 18</t>
  </si>
  <si>
    <t>Nhà bán hàng 19</t>
  </si>
  <si>
    <t>Nhà bán hàng 20</t>
  </si>
  <si>
    <t>Nhà bán hàng 21</t>
  </si>
  <si>
    <t>Nhà bán hàng 22</t>
  </si>
  <si>
    <t>Nhà bán hàng 23</t>
  </si>
  <si>
    <t>Nhà bán hàng 24</t>
  </si>
  <si>
    <t>Nhà bán hàng 25</t>
  </si>
  <si>
    <t>Nhà bán hàng 26</t>
  </si>
  <si>
    <t>Nhà bán hàng 27</t>
  </si>
  <si>
    <t>Nhà bán hàng 28</t>
  </si>
  <si>
    <t>Nhà bán hàng 29</t>
  </si>
  <si>
    <t>Nhà bán hàng 30</t>
  </si>
  <si>
    <t>SheetName</t>
  </si>
  <si>
    <t>FieldName</t>
  </si>
  <si>
    <t>BusinessName</t>
  </si>
  <si>
    <t>DataType</t>
  </si>
  <si>
    <t>LengthFormat</t>
  </si>
  <si>
    <t>Required</t>
  </si>
  <si>
    <t>KeyType</t>
  </si>
  <si>
    <t>ReferenceField</t>
  </si>
  <si>
    <t>AllowedValues</t>
  </si>
  <si>
    <t>ValidationRule</t>
  </si>
  <si>
    <t>NullHandling</t>
  </si>
  <si>
    <t>TransformationRule</t>
  </si>
  <si>
    <t>ExampleValue</t>
  </si>
  <si>
    <t>SourceType</t>
  </si>
  <si>
    <t>Customers</t>
  </si>
  <si>
    <t>Đặc tả trường customer_id của bảng Customers</t>
  </si>
  <si>
    <t>Text</t>
  </si>
  <si>
    <t>Yes</t>
  </si>
  <si>
    <t>PK</t>
  </si>
  <si>
    <t/>
  </si>
  <si>
    <t>Không trùng và không rỗng</t>
  </si>
  <si>
    <t>Reject</t>
  </si>
  <si>
    <t>Giữ nguyên/chuẩn hóa ETL</t>
  </si>
  <si>
    <t>Olist structure</t>
  </si>
  <si>
    <t>Đặc tả trường customer_unique_id của bảng Customers</t>
  </si>
  <si>
    <t>FK</t>
  </si>
  <si>
    <t>Customers.customer_unique_id</t>
  </si>
  <si>
    <t>Phải tồn tại trong Customers.customer_unique_id</t>
  </si>
  <si>
    <t>Allow/derive theo quy tắc</t>
  </si>
  <si>
    <t>Đặc tả trường customer_zip_code_prefix của bảng Customers</t>
  </si>
  <si>
    <t>Conditional</t>
  </si>
  <si>
    <t>Attribute</t>
  </si>
  <si>
    <t>Theo kiểu dữ liệu</t>
  </si>
  <si>
    <t>Đặc tả trường customer_city của bảng Customers</t>
  </si>
  <si>
    <t>Đặc tả trường customer_state của bảng Customers</t>
  </si>
  <si>
    <t>Đặc tả trường CustomerName của bảng Customers</t>
  </si>
  <si>
    <t>Đặc tả trường Region của bảng Customers</t>
  </si>
  <si>
    <t>Đặc tả trường ProvinceCity của bảng Customers</t>
  </si>
  <si>
    <t>Đặc tả trường Email của bảng Customers</t>
  </si>
  <si>
    <t>Đặc tả trường Phone của bảng Customers</t>
  </si>
  <si>
    <t>Đặc tả trường RegisteredDate của bảng Customers</t>
  </si>
  <si>
    <t>Datetime</t>
  </si>
  <si>
    <t>yyyy-mm-dd hh:mm:ss</t>
  </si>
  <si>
    <t>Nhân viên phụ trách</t>
  </si>
  <si>
    <t>Đặc tả trường owner_id của bảng Customers</t>
  </si>
  <si>
    <t>Employees.employee_id</t>
  </si>
  <si>
    <t>Phải tồn tại trong Employees.employee_id</t>
  </si>
  <si>
    <t>Tính toán hoặc sinh theo SRS</t>
  </si>
  <si>
    <t>SRS/VN-added</t>
  </si>
  <si>
    <t>Đặc tả trường CustomerStatus của bảng Customers</t>
  </si>
  <si>
    <t>Phân khúc khách hàng</t>
  </si>
  <si>
    <t>Đặc tả trường CustomerSegment của bảng Customers</t>
  </si>
  <si>
    <t>Products</t>
  </si>
  <si>
    <t>Đặc tả trường product_id của bảng Products</t>
  </si>
  <si>
    <t>Products.product_id</t>
  </si>
  <si>
    <t>Đặc tả trường product_category_name của bảng Products</t>
  </si>
  <si>
    <t>Đặc tả trường product_name_lenght của bảng Products</t>
  </si>
  <si>
    <t>Đặc tả trường product_description_lenght của bảng Products</t>
  </si>
  <si>
    <t>Đặc tả trường product_photos_qty của bảng Products</t>
  </si>
  <si>
    <t>Đặc tả trường product_weight_g của bảng Products</t>
  </si>
  <si>
    <t>Number</t>
  </si>
  <si>
    <t>Đặc tả trường product_length_cm của bảng Products</t>
  </si>
  <si>
    <t>Đặc tả trường product_height_cm của bảng Products</t>
  </si>
  <si>
    <t>Đặc tả trường product_width_cm của bảng Products</t>
  </si>
  <si>
    <t>Đặc tả trường Description của bảng Products</t>
  </si>
  <si>
    <t>Đặc tả trường ProductCategory của bảng Products</t>
  </si>
  <si>
    <t>Giá niêm yết</t>
  </si>
  <si>
    <t>Giá bán tham chiếu trung bình của sản phẩm, tính từ chi tiết đơn hàng</t>
  </si>
  <si>
    <t>#,##0 "₫"</t>
  </si>
  <si>
    <t>Giá trị &gt;= 0</t>
  </si>
  <si>
    <t>Phải là số không âm</t>
  </si>
  <si>
    <t>Không để trống; 0 nếu chưa có giao dịch</t>
  </si>
  <si>
    <t>AVG OderItems.price theo product_id</t>
  </si>
  <si>
    <t>420000</t>
  </si>
  <si>
    <t>Derived/VN-added</t>
  </si>
  <si>
    <t>Đơn vị tiền tệ</t>
  </si>
  <si>
    <t>Đơn vị tiền tệ áp dụng cho giá niêm yết sản phẩm</t>
  </si>
  <si>
    <t>3</t>
  </si>
  <si>
    <t>Giá trị phải bằng "VNĐ"</t>
  </si>
  <si>
    <t>Mặc định VNĐ</t>
  </si>
  <si>
    <t>Gán cố định "VNĐ"</t>
  </si>
  <si>
    <t>VN-added</t>
  </si>
  <si>
    <t>Trạng thái sản phẩm</t>
  </si>
  <si>
    <t>Trạng thái đang kinh doanh hoặc ngừng kinh doanh của sản phẩm</t>
  </si>
  <si>
    <t>20</t>
  </si>
  <si>
    <t>Active; Inactive</t>
  </si>
  <si>
    <t>Chỉ nhận Active hoặc Inactive</t>
  </si>
  <si>
    <t>Mặc định Active</t>
  </si>
  <si>
    <t>Gán "Active" cho dữ liệu demo</t>
  </si>
  <si>
    <t>Orders</t>
  </si>
  <si>
    <t>Đặc tả trường order_id của bảng Orders</t>
  </si>
  <si>
    <t>PK/FK</t>
  </si>
  <si>
    <t>Orders.order_id</t>
  </si>
  <si>
    <t>Đặc tả trường customer_id của bảng Orders</t>
  </si>
  <si>
    <t>Đặc tả trường order_status của bảng Orders</t>
  </si>
  <si>
    <t>delivered,canceled,returned,processing</t>
  </si>
  <si>
    <t>Đặc tả trường order_purchase_timestamp của bảng Orders</t>
  </si>
  <si>
    <t>Đặc tả trường order_approved_at của bảng Orders</t>
  </si>
  <si>
    <t>Đặc tả trường order_delivered_carrier_date của bảng Orders</t>
  </si>
  <si>
    <t>Đặc tả trường order_delivered_customer_date của bảng Orders</t>
  </si>
  <si>
    <t>Đặc tả trường order_estimated_delivery_date của bảng Orders</t>
  </si>
  <si>
    <t>Đặc tả trường CustomerID của bảng Orders</t>
  </si>
  <si>
    <t>Đặc tả trường SalesChannel của bảng Orders</t>
  </si>
  <si>
    <t>Đặc tả trường PaymentMethod của bảng Orders</t>
  </si>
  <si>
    <t>Đặc tả trường Region của bảng Orders</t>
  </si>
  <si>
    <t>Đặc tả trường ProvinceCity của bảng Orders</t>
  </si>
  <si>
    <t>Đặc tả trường owner_id của bảng Orders</t>
  </si>
  <si>
    <t>Tổng tiền hàng</t>
  </si>
  <si>
    <t>Đặc tả trường OrderSubtotal của bảng Orders</t>
  </si>
  <si>
    <t>Tổng phí vận chuyển</t>
  </si>
  <si>
    <t>Đặc tả trường FreightTotal của bảng Orders</t>
  </si>
  <si>
    <t>Tổng giảm giá</t>
  </si>
  <si>
    <t>Đặc tả trường DiscountTotal của bảng Orders</t>
  </si>
  <si>
    <t>Tổng thanh toán</t>
  </si>
  <si>
    <t>Đặc tả trường OrderTotal của bảng Orders</t>
  </si>
  <si>
    <t>Đặc tả trường Currency của bảng Orders</t>
  </si>
  <si>
    <t>Được tính RFM</t>
  </si>
  <si>
    <t>Đặc tả trường IsValidForRFM của bảng Orders</t>
  </si>
  <si>
    <t>TRUE,FALSE</t>
  </si>
  <si>
    <t>OderItems</t>
  </si>
  <si>
    <t>Đặc tả trường order_id của bảng OderItems</t>
  </si>
  <si>
    <t>Đặc tả trường order_item_id của bảng OderItems</t>
  </si>
  <si>
    <t>Đặc tả trường product_id của bảng OderItems</t>
  </si>
  <si>
    <t>Đặc tả trường seller_id của bảng OderItems</t>
  </si>
  <si>
    <t>Sellers.seller_id</t>
  </si>
  <si>
    <t>Đặc tả trường shipping_limit_date của bảng OderItems</t>
  </si>
  <si>
    <t>Đặc tả trường price của bảng OderItems</t>
  </si>
  <si>
    <t>Đặc tả trường freight_value của bảng OderItems</t>
  </si>
  <si>
    <t>Đặc tả trường Quantity của bảng OderItems</t>
  </si>
  <si>
    <t>Đặc tả trường LineAmount của bảng OderItems</t>
  </si>
  <si>
    <t>Đặc tả trường OrderDetailID của bảng OderItems</t>
  </si>
  <si>
    <t>Đặc tả trường discount_value của bảng OderItems</t>
  </si>
  <si>
    <t>Đặc tả trường line_subtotal của bảng OderItems</t>
  </si>
  <si>
    <t>Đặc tả trường line_total của bảng OderItems</t>
  </si>
  <si>
    <t>Payments</t>
  </si>
  <si>
    <t>Đặc tả trường order_id của bảng Payments</t>
  </si>
  <si>
    <t>Đặc tả trường payment_sequential của bảng Payments</t>
  </si>
  <si>
    <t>Đặc tả trường payment_type của bảng Payments</t>
  </si>
  <si>
    <t>Đặc tả trường payment_installments của bảng Payments</t>
  </si>
  <si>
    <t>Đặc tả trường payment_value của bảng Payments</t>
  </si>
  <si>
    <t>Đặc tả trường PaymentMethodVN của bảng Payments</t>
  </si>
  <si>
    <t>Đặc tả trường Currency của bảng Payments</t>
  </si>
  <si>
    <t>Reviews</t>
  </si>
  <si>
    <t>Đặc tả trường review_id của bảng Reviews</t>
  </si>
  <si>
    <t>Đặc tả trường order_id của bảng Reviews</t>
  </si>
  <si>
    <t>Đặc tả trường review_score của bảng Reviews</t>
  </si>
  <si>
    <t>Đặc tả trường review_comment_title của bảng Reviews</t>
  </si>
  <si>
    <t>Đặc tả trường review_comment_message của bảng Reviews</t>
  </si>
  <si>
    <t>Đặc tả trường review_creation_date của bảng Reviews</t>
  </si>
  <si>
    <t>Đặc tả trường review_answer_timestamp của bảng Reviews</t>
  </si>
  <si>
    <t>Đặc tả trường CustomerID của bảng Reviews</t>
  </si>
  <si>
    <t>Đặc tả trường Channel của bảng Reviews</t>
  </si>
  <si>
    <t>Sellers</t>
  </si>
  <si>
    <t>Đặc tả trường seller_id của bảng Sellers</t>
  </si>
  <si>
    <t>Đặc tả trường seller_zip_code_prefix của bảng Sellers</t>
  </si>
  <si>
    <t>Đặc tả trường seller_city của bảng Sellers</t>
  </si>
  <si>
    <t>Đặc tả trường seller_state của bảng Sellers</t>
  </si>
  <si>
    <t>Đặc tả trường Region của bảng Sellers</t>
  </si>
  <si>
    <t>Đặc tả trường SellerName của bảng Sellers</t>
  </si>
  <si>
    <t>Geolocation</t>
  </si>
  <si>
    <t>Đặc tả trường geolocation_zip_code_prefix của bảng Geolocation</t>
  </si>
  <si>
    <t>Đặc tả trường geolocation_lat của bảng Geolocation</t>
  </si>
  <si>
    <t>Đặc tả trường geolocation_lng của bảng Geolocation</t>
  </si>
  <si>
    <t>Đặc tả trường geolocation_city của bảng Geolocation</t>
  </si>
  <si>
    <t>Đặc tả trường geolocation_state của bảng Geolocation</t>
  </si>
  <si>
    <t>Đặc tả trường Region của bảng Geolocation</t>
  </si>
  <si>
    <t>Employees</t>
  </si>
  <si>
    <t>employee_id</t>
  </si>
  <si>
    <t>Đặc tả trường employee_id của bảng Employees</t>
  </si>
  <si>
    <t>employee_name</t>
  </si>
  <si>
    <t>Đặc tả trường employee_name của bảng Employees</t>
  </si>
  <si>
    <t>department</t>
  </si>
  <si>
    <t>Đặc tả trường department của bảng Employees</t>
  </si>
  <si>
    <t>email</t>
  </si>
  <si>
    <t>Đặc tả trường email của bảng Employees</t>
  </si>
  <si>
    <t>phone</t>
  </si>
  <si>
    <t>Đặc tả trường phone của bảng Employees</t>
  </si>
  <si>
    <t>region_scope</t>
  </si>
  <si>
    <t>Đặc tả trường region_scope của bảng Employees</t>
  </si>
  <si>
    <t>status</t>
  </si>
  <si>
    <t>Đặc tả trường status của bảng Employees</t>
  </si>
  <si>
    <t>Active,Inactive,Completed,Not trained</t>
  </si>
  <si>
    <t>start_date</t>
  </si>
  <si>
    <t>Đặc tả trường start_date của bảng Employees</t>
  </si>
  <si>
    <t>Interactions</t>
  </si>
  <si>
    <t>interaction_id</t>
  </si>
  <si>
    <t>Đặc tả trường interaction_id của bảng Interactions</t>
  </si>
  <si>
    <t>Đặc tả trường customer_unique_id của bảng Interactions</t>
  </si>
  <si>
    <t>Đặc tả trường product_id của bảng Interactions</t>
  </si>
  <si>
    <t>interaction_type</t>
  </si>
  <si>
    <t>Loại tương tác</t>
  </si>
  <si>
    <t>Đặc tả trường interaction_type của bảng Interactions</t>
  </si>
  <si>
    <t>product_view,search,add_to_cart,wishlist,checkout_started,email_open,email_click,chat</t>
  </si>
  <si>
    <t>interaction_timestamp</t>
  </si>
  <si>
    <t>Đặc tả trường interaction_timestamp của bảng Interactions</t>
  </si>
  <si>
    <t>channel</t>
  </si>
  <si>
    <t>Đặc tả trường channel của bảng Interactions</t>
  </si>
  <si>
    <t>session_id</t>
  </si>
  <si>
    <t>Đặc tả trường session_id của bảng Interactions</t>
  </si>
  <si>
    <t>campaign_id</t>
  </si>
  <si>
    <t>Đặc tả trường campaign_id của bảng Interactions</t>
  </si>
  <si>
    <t>Campaigns.campaign_id</t>
  </si>
  <si>
    <t>interaction_value</t>
  </si>
  <si>
    <t>Điểm tương tác</t>
  </si>
  <si>
    <t>Đặc tả trường interaction_value của bảng Interactions</t>
  </si>
  <si>
    <t>interaction_result</t>
  </si>
  <si>
    <t>Đặc tả trường interaction_result của bảng Interactions</t>
  </si>
  <si>
    <t>Campaigns</t>
  </si>
  <si>
    <t>Đặc tả trường campaign_id của bảng Campaigns</t>
  </si>
  <si>
    <t>campaign_name</t>
  </si>
  <si>
    <t>Đặc tả trường campaign_name của bảng Campaigns</t>
  </si>
  <si>
    <t>campaign_type</t>
  </si>
  <si>
    <t>Đặc tả trường campaign_type của bảng Campaigns</t>
  </si>
  <si>
    <t>Đặc tả trường start_date của bảng Campaigns</t>
  </si>
  <si>
    <t>end_date</t>
  </si>
  <si>
    <t>Đặc tả trường end_date của bảng Campaigns</t>
  </si>
  <si>
    <t>Đặc tả trường channel của bảng Campaigns</t>
  </si>
  <si>
    <t>target_segment</t>
  </si>
  <si>
    <t>Đặc tả trường target_segment của bảng Campaigns</t>
  </si>
  <si>
    <t>Đặc tả trường status của bảng Campaigns</t>
  </si>
  <si>
    <t>budget_vnd</t>
  </si>
  <si>
    <t>Đặc tả trường budget_vnd của bảng Campaigns</t>
  </si>
  <si>
    <t>CustomerAnalytics</t>
  </si>
  <si>
    <t>AnalysisDate</t>
  </si>
  <si>
    <t>Đặc tả trường AnalysisDate của bảng CustomerAnalytics</t>
  </si>
  <si>
    <t>Đặc tả trường CustomerID của bảng CustomerAnalytics</t>
  </si>
  <si>
    <t>OwnerID</t>
  </si>
  <si>
    <t>Đặc tả trường OwnerID của bảng CustomerAnalytics</t>
  </si>
  <si>
    <t>RecencyDays</t>
  </si>
  <si>
    <t>Đặc tả trường RecencyDays của bảng CustomerAnalytics</t>
  </si>
  <si>
    <t>Frequency</t>
  </si>
  <si>
    <t>Đặc tả trường Frequency của bảng CustomerAnalytics</t>
  </si>
  <si>
    <t>Monetary</t>
  </si>
  <si>
    <t>Đặc tả trường Monetary của bảng CustomerAnalytics</t>
  </si>
  <si>
    <t>AOV</t>
  </si>
  <si>
    <t>Đặc tả trường AOV của bảng CustomerAnalytics</t>
  </si>
  <si>
    <t>AvgPurchaseCycleDays</t>
  </si>
  <si>
    <t>Đặc tả trường AvgPurchaseCycleDays của bảng CustomerAnalytics</t>
  </si>
  <si>
    <t>AvgReviewScore</t>
  </si>
  <si>
    <t>Đặc tả trường AvgReviewScore của bảng CustomerAnalytics</t>
  </si>
  <si>
    <t>InteractionScore</t>
  </si>
  <si>
    <t>Đặc tả trường InteractionScore của bảng CustomerAnalytics</t>
  </si>
  <si>
    <t>RScore</t>
  </si>
  <si>
    <t>Đặc tả trường RScore của bảng CustomerAnalytics</t>
  </si>
  <si>
    <t>FScore</t>
  </si>
  <si>
    <t>Đặc tả trường FScore của bảng CustomerAnalytics</t>
  </si>
  <si>
    <t>MScore</t>
  </si>
  <si>
    <t>Đặc tả trường MScore của bảng CustomerAnalytics</t>
  </si>
  <si>
    <t>PotentialScore</t>
  </si>
  <si>
    <t>Điểm tiềm năng</t>
  </si>
  <si>
    <t>Đặc tả trường PotentialScore của bảng CustomerAnalytics</t>
  </si>
  <si>
    <t>Segment</t>
  </si>
  <si>
    <t>Đặc tả trường Segment của bảng CustomerAnalytics</t>
  </si>
  <si>
    <t>ModelStatus</t>
  </si>
  <si>
    <t>Đặc tả trường ModelStatus của bảng CustomerAnalytics</t>
  </si>
  <si>
    <t>ModelRuns</t>
  </si>
  <si>
    <t>run_id</t>
  </si>
  <si>
    <t>Đặc tả trường run_id của bảng ModelRuns</t>
  </si>
  <si>
    <t>run_timestamp</t>
  </si>
  <si>
    <t>Đặc tả trường run_timestamp của bảng ModelRuns</t>
  </si>
  <si>
    <t>analysis_date</t>
  </si>
  <si>
    <t>Đặc tả trường analysis_date của bảng ModelRuns</t>
  </si>
  <si>
    <t>model_type</t>
  </si>
  <si>
    <t>Đặc tả trường model_type của bảng ModelRuns</t>
  </si>
  <si>
    <t>model_version</t>
  </si>
  <si>
    <t>Đặc tả trường model_version của bảng ModelRuns</t>
  </si>
  <si>
    <t>Đặc tả trường status của bảng ModelRuns</t>
  </si>
  <si>
    <t>record_count</t>
  </si>
  <si>
    <t>Đặc tả trường record_count của bảng ModelRuns</t>
  </si>
  <si>
    <t>notes</t>
  </si>
  <si>
    <t>Đặc tả trường notes của bảng ModelRuns</t>
  </si>
  <si>
    <t>Nguyễn Minh Anh</t>
  </si>
  <si>
    <t>Kinh doanh</t>
  </si>
  <si>
    <t>minhanh@demo.vn</t>
  </si>
  <si>
    <t>0901 000 001</t>
  </si>
  <si>
    <t>Trần Quốc Bảo</t>
  </si>
  <si>
    <t>quocbao@demo.vn</t>
  </si>
  <si>
    <t>0901 000 002</t>
  </si>
  <si>
    <t>Lê Thu Hà</t>
  </si>
  <si>
    <t>Chăm sóc khách hàng</t>
  </si>
  <si>
    <t>thuha@demo.vn</t>
  </si>
  <si>
    <t>0901 000 003</t>
  </si>
  <si>
    <t>Phạm Gia Huy</t>
  </si>
  <si>
    <t>giahuy@demo.vn</t>
  </si>
  <si>
    <t>0901 000 004</t>
  </si>
  <si>
    <t>Võ Ngọc Lan</t>
  </si>
  <si>
    <t>ngoclan@demo.vn</t>
  </si>
  <si>
    <t>0901 000 005</t>
  </si>
  <si>
    <t>Bùi Thanh Nam</t>
  </si>
  <si>
    <t>thanhnam@demo.vn</t>
  </si>
  <si>
    <t>0901 000 006</t>
  </si>
  <si>
    <t>Đặng Minh Phúc</t>
  </si>
  <si>
    <t>Marketing</t>
  </si>
  <si>
    <t>minhphuc@demo.vn</t>
  </si>
  <si>
    <t>0901 000 007</t>
  </si>
  <si>
    <t>Toàn quốc</t>
  </si>
  <si>
    <t>Hoàng Thu Trang</t>
  </si>
  <si>
    <t>thutrang@demo.vn</t>
  </si>
  <si>
    <t>0901 000 008</t>
  </si>
  <si>
    <t>INT00001</t>
  </si>
  <si>
    <t>search</t>
  </si>
  <si>
    <t>SES000101</t>
  </si>
  <si>
    <t>CAM002</t>
  </si>
  <si>
    <t>results_viewed</t>
  </si>
  <si>
    <t>INT00002</t>
  </si>
  <si>
    <t>checkout_started</t>
  </si>
  <si>
    <t>SES000102</t>
  </si>
  <si>
    <t>started</t>
  </si>
  <si>
    <t>INT00003</t>
  </si>
  <si>
    <t>chat</t>
  </si>
  <si>
    <t>Chat</t>
  </si>
  <si>
    <t>SES000103</t>
  </si>
  <si>
    <t>contacted</t>
  </si>
  <si>
    <t>INT00004</t>
  </si>
  <si>
    <t>add_to_cart</t>
  </si>
  <si>
    <t>SES000104</t>
  </si>
  <si>
    <t>CAM001</t>
  </si>
  <si>
    <t>added</t>
  </si>
  <si>
    <t>INT00005</t>
  </si>
  <si>
    <t>email_open</t>
  </si>
  <si>
    <t>SES000105</t>
  </si>
  <si>
    <t>opened</t>
  </si>
  <si>
    <t>INT00006</t>
  </si>
  <si>
    <t>product_view</t>
  </si>
  <si>
    <t>SES000106</t>
  </si>
  <si>
    <t>viewed</t>
  </si>
  <si>
    <t>INT00007</t>
  </si>
  <si>
    <t>SES000201</t>
  </si>
  <si>
    <t>CAM003</t>
  </si>
  <si>
    <t>INT00008</t>
  </si>
  <si>
    <t>SES000202</t>
  </si>
  <si>
    <t>INT00009</t>
  </si>
  <si>
    <t>SES000203</t>
  </si>
  <si>
    <t>INT00010</t>
  </si>
  <si>
    <t>wishlist</t>
  </si>
  <si>
    <t>SES000204</t>
  </si>
  <si>
    <t>saved</t>
  </si>
  <si>
    <t>INT00011</t>
  </si>
  <si>
    <t>email_click</t>
  </si>
  <si>
    <t>SES000205</t>
  </si>
  <si>
    <t>clicked</t>
  </si>
  <si>
    <t>INT00012</t>
  </si>
  <si>
    <t>SES000206</t>
  </si>
  <si>
    <t>INT00013</t>
  </si>
  <si>
    <t>SES000301</t>
  </si>
  <si>
    <t>CAM004</t>
  </si>
  <si>
    <t>INT00014</t>
  </si>
  <si>
    <t>SES000302</t>
  </si>
  <si>
    <t>INT00015</t>
  </si>
  <si>
    <t>SES000303</t>
  </si>
  <si>
    <t>INT00016</t>
  </si>
  <si>
    <t>SES000304</t>
  </si>
  <si>
    <t>INT00017</t>
  </si>
  <si>
    <t>SES000305</t>
  </si>
  <si>
    <t>INT00018</t>
  </si>
  <si>
    <t>SES000306</t>
  </si>
  <si>
    <t>INT00019</t>
  </si>
  <si>
    <t>SES000401</t>
  </si>
  <si>
    <t>INT00020</t>
  </si>
  <si>
    <t>SES000402</t>
  </si>
  <si>
    <t>INT00021</t>
  </si>
  <si>
    <t>SES000403</t>
  </si>
  <si>
    <t>INT00022</t>
  </si>
  <si>
    <t>SES000404</t>
  </si>
  <si>
    <t>INT00023</t>
  </si>
  <si>
    <t>SES000405</t>
  </si>
  <si>
    <t>INT00024</t>
  </si>
  <si>
    <t>SES000406</t>
  </si>
  <si>
    <t>INT00025</t>
  </si>
  <si>
    <t>SES000501</t>
  </si>
  <si>
    <t>INT00026</t>
  </si>
  <si>
    <t>SES000502</t>
  </si>
  <si>
    <t>INT00027</t>
  </si>
  <si>
    <t>SES000503</t>
  </si>
  <si>
    <t>INT00028</t>
  </si>
  <si>
    <t>SES000504</t>
  </si>
  <si>
    <t>INT00029</t>
  </si>
  <si>
    <t>SES000505</t>
  </si>
  <si>
    <t>INT00030</t>
  </si>
  <si>
    <t>SES000506</t>
  </si>
  <si>
    <t>INT00031</t>
  </si>
  <si>
    <t>SES000601</t>
  </si>
  <si>
    <t>INT00032</t>
  </si>
  <si>
    <t>SES000602</t>
  </si>
  <si>
    <t>INT00033</t>
  </si>
  <si>
    <t>SES000603</t>
  </si>
  <si>
    <t>INT00034</t>
  </si>
  <si>
    <t>SES000604</t>
  </si>
  <si>
    <t>INT00035</t>
  </si>
  <si>
    <t>SES000605</t>
  </si>
  <si>
    <t>INT00036</t>
  </si>
  <si>
    <t>SES000606</t>
  </si>
  <si>
    <t>INT00037</t>
  </si>
  <si>
    <t>SES000701</t>
  </si>
  <si>
    <t>INT00038</t>
  </si>
  <si>
    <t>SES000702</t>
  </si>
  <si>
    <t>INT00039</t>
  </si>
  <si>
    <t>SES000703</t>
  </si>
  <si>
    <t>INT00040</t>
  </si>
  <si>
    <t>SES000704</t>
  </si>
  <si>
    <t>INT00041</t>
  </si>
  <si>
    <t>SES000705</t>
  </si>
  <si>
    <t>INT00042</t>
  </si>
  <si>
    <t>SES000706</t>
  </si>
  <si>
    <t>INT00043</t>
  </si>
  <si>
    <t>SES000801</t>
  </si>
  <si>
    <t>INT00044</t>
  </si>
  <si>
    <t>SES000802</t>
  </si>
  <si>
    <t>INT00045</t>
  </si>
  <si>
    <t>SES000803</t>
  </si>
  <si>
    <t>INT00046</t>
  </si>
  <si>
    <t>SES000804</t>
  </si>
  <si>
    <t>INT00047</t>
  </si>
  <si>
    <t>SES000805</t>
  </si>
  <si>
    <t>INT00048</t>
  </si>
  <si>
    <t>SES000806</t>
  </si>
  <si>
    <t>INT00049</t>
  </si>
  <si>
    <t>SES000901</t>
  </si>
  <si>
    <t>INT00050</t>
  </si>
  <si>
    <t>SES000902</t>
  </si>
  <si>
    <t>INT00051</t>
  </si>
  <si>
    <t>SES000903</t>
  </si>
  <si>
    <t>INT00052</t>
  </si>
  <si>
    <t>SES000904</t>
  </si>
  <si>
    <t>INT00053</t>
  </si>
  <si>
    <t>SES000905</t>
  </si>
  <si>
    <t>INT00054</t>
  </si>
  <si>
    <t>SES000906</t>
  </si>
  <si>
    <t>INT00055</t>
  </si>
  <si>
    <t>SES001001</t>
  </si>
  <si>
    <t>INT00056</t>
  </si>
  <si>
    <t>SES001002</t>
  </si>
  <si>
    <t>INT00057</t>
  </si>
  <si>
    <t>SES001003</t>
  </si>
  <si>
    <t>INT00058</t>
  </si>
  <si>
    <t>SES001004</t>
  </si>
  <si>
    <t>INT00059</t>
  </si>
  <si>
    <t>SES001005</t>
  </si>
  <si>
    <t>INT00060</t>
  </si>
  <si>
    <t>SES001006</t>
  </si>
  <si>
    <t>INT00061</t>
  </si>
  <si>
    <t>SES001101</t>
  </si>
  <si>
    <t>INT00062</t>
  </si>
  <si>
    <t>SES001102</t>
  </si>
  <si>
    <t>INT00063</t>
  </si>
  <si>
    <t>SES001103</t>
  </si>
  <si>
    <t>INT00064</t>
  </si>
  <si>
    <t>SES001104</t>
  </si>
  <si>
    <t>INT00065</t>
  </si>
  <si>
    <t>SES001105</t>
  </si>
  <si>
    <t>INT00066</t>
  </si>
  <si>
    <t>SES001106</t>
  </si>
  <si>
    <t>INT00067</t>
  </si>
  <si>
    <t>SES001201</t>
  </si>
  <si>
    <t>INT00068</t>
  </si>
  <si>
    <t>SES001202</t>
  </si>
  <si>
    <t>INT00069</t>
  </si>
  <si>
    <t>SES001203</t>
  </si>
  <si>
    <t>INT00070</t>
  </si>
  <si>
    <t>SES001204</t>
  </si>
  <si>
    <t>INT00071</t>
  </si>
  <si>
    <t>SES001205</t>
  </si>
  <si>
    <t>INT00072</t>
  </si>
  <si>
    <t>SES001206</t>
  </si>
  <si>
    <t>INT00073</t>
  </si>
  <si>
    <t>SES001301</t>
  </si>
  <si>
    <t>INT00074</t>
  </si>
  <si>
    <t>SES001302</t>
  </si>
  <si>
    <t>INT00075</t>
  </si>
  <si>
    <t>SES001303</t>
  </si>
  <si>
    <t>INT00076</t>
  </si>
  <si>
    <t>SES001304</t>
  </si>
  <si>
    <t>INT00077</t>
  </si>
  <si>
    <t>SES001305</t>
  </si>
  <si>
    <t>INT00078</t>
  </si>
  <si>
    <t>SES001306</t>
  </si>
  <si>
    <t>INT00079</t>
  </si>
  <si>
    <t>SES001401</t>
  </si>
  <si>
    <t>INT00080</t>
  </si>
  <si>
    <t>SES001402</t>
  </si>
  <si>
    <t>INT00081</t>
  </si>
  <si>
    <t>SES001403</t>
  </si>
  <si>
    <t>INT00082</t>
  </si>
  <si>
    <t>SES001404</t>
  </si>
  <si>
    <t>INT00083</t>
  </si>
  <si>
    <t>SES001405</t>
  </si>
  <si>
    <t>INT00084</t>
  </si>
  <si>
    <t>SES001406</t>
  </si>
  <si>
    <t>INT00085</t>
  </si>
  <si>
    <t>SES001501</t>
  </si>
  <si>
    <t>INT00086</t>
  </si>
  <si>
    <t>SES001502</t>
  </si>
  <si>
    <t>INT00087</t>
  </si>
  <si>
    <t>SES001503</t>
  </si>
  <si>
    <t>INT00088</t>
  </si>
  <si>
    <t>SES001504</t>
  </si>
  <si>
    <t>INT00089</t>
  </si>
  <si>
    <t>SES001505</t>
  </si>
  <si>
    <t>INT00090</t>
  </si>
  <si>
    <t>SES001506</t>
  </si>
  <si>
    <t>INT00091</t>
  </si>
  <si>
    <t>SES001601</t>
  </si>
  <si>
    <t>INT00092</t>
  </si>
  <si>
    <t>SES001602</t>
  </si>
  <si>
    <t>INT00093</t>
  </si>
  <si>
    <t>SES001603</t>
  </si>
  <si>
    <t>INT00094</t>
  </si>
  <si>
    <t>SES001604</t>
  </si>
  <si>
    <t>INT00095</t>
  </si>
  <si>
    <t>SES001605</t>
  </si>
  <si>
    <t>INT00096</t>
  </si>
  <si>
    <t>SES001606</t>
  </si>
  <si>
    <t>INT00097</t>
  </si>
  <si>
    <t>SES001701</t>
  </si>
  <si>
    <t>INT00098</t>
  </si>
  <si>
    <t>SES001702</t>
  </si>
  <si>
    <t>INT00099</t>
  </si>
  <si>
    <t>SES001703</t>
  </si>
  <si>
    <t>INT00100</t>
  </si>
  <si>
    <t>SES001704</t>
  </si>
  <si>
    <t>INT00101</t>
  </si>
  <si>
    <t>SES001705</t>
  </si>
  <si>
    <t>INT00102</t>
  </si>
  <si>
    <t>SES001706</t>
  </si>
  <si>
    <t>INT00103</t>
  </si>
  <si>
    <t>SES001801</t>
  </si>
  <si>
    <t>INT00104</t>
  </si>
  <si>
    <t>SES001802</t>
  </si>
  <si>
    <t>INT00105</t>
  </si>
  <si>
    <t>SES001803</t>
  </si>
  <si>
    <t>INT00106</t>
  </si>
  <si>
    <t>SES001804</t>
  </si>
  <si>
    <t>INT00107</t>
  </si>
  <si>
    <t>SES001805</t>
  </si>
  <si>
    <t>INT00108</t>
  </si>
  <si>
    <t>SES001806</t>
  </si>
  <si>
    <t>INT00109</t>
  </si>
  <si>
    <t>SES001901</t>
  </si>
  <si>
    <t>INT00110</t>
  </si>
  <si>
    <t>SES001902</t>
  </si>
  <si>
    <t>INT00111</t>
  </si>
  <si>
    <t>SES001903</t>
  </si>
  <si>
    <t>INT00112</t>
  </si>
  <si>
    <t>SES001904</t>
  </si>
  <si>
    <t>INT00113</t>
  </si>
  <si>
    <t>SES001905</t>
  </si>
  <si>
    <t>INT00114</t>
  </si>
  <si>
    <t>SES001906</t>
  </si>
  <si>
    <t>INT00115</t>
  </si>
  <si>
    <t>SES002001</t>
  </si>
  <si>
    <t>INT00116</t>
  </si>
  <si>
    <t>SES002002</t>
  </si>
  <si>
    <t>INT00117</t>
  </si>
  <si>
    <t>SES002003</t>
  </si>
  <si>
    <t>INT00118</t>
  </si>
  <si>
    <t>SES002004</t>
  </si>
  <si>
    <t>INT00119</t>
  </si>
  <si>
    <t>SES002005</t>
  </si>
  <si>
    <t>INT00120</t>
  </si>
  <si>
    <t>SES002006</t>
  </si>
  <si>
    <t>INT00121</t>
  </si>
  <si>
    <t>SES002101</t>
  </si>
  <si>
    <t>INT00122</t>
  </si>
  <si>
    <t>SES002102</t>
  </si>
  <si>
    <t>INT00123</t>
  </si>
  <si>
    <t>SES002103</t>
  </si>
  <si>
    <t>INT00124</t>
  </si>
  <si>
    <t>SES002104</t>
  </si>
  <si>
    <t>INT00125</t>
  </si>
  <si>
    <t>SES002105</t>
  </si>
  <si>
    <t>INT00126</t>
  </si>
  <si>
    <t>SES002106</t>
  </si>
  <si>
    <t>INT00127</t>
  </si>
  <si>
    <t>SES002201</t>
  </si>
  <si>
    <t>INT00128</t>
  </si>
  <si>
    <t>SES002202</t>
  </si>
  <si>
    <t>INT00129</t>
  </si>
  <si>
    <t>SES002203</t>
  </si>
  <si>
    <t>INT00130</t>
  </si>
  <si>
    <t>SES002204</t>
  </si>
  <si>
    <t>INT00131</t>
  </si>
  <si>
    <t>SES002205</t>
  </si>
  <si>
    <t>INT00132</t>
  </si>
  <si>
    <t>SES002206</t>
  </si>
  <si>
    <t>INT00133</t>
  </si>
  <si>
    <t>SES002301</t>
  </si>
  <si>
    <t>INT00134</t>
  </si>
  <si>
    <t>SES002302</t>
  </si>
  <si>
    <t>INT00135</t>
  </si>
  <si>
    <t>SES002303</t>
  </si>
  <si>
    <t>INT00136</t>
  </si>
  <si>
    <t>SES002304</t>
  </si>
  <si>
    <t>INT00137</t>
  </si>
  <si>
    <t>SES002305</t>
  </si>
  <si>
    <t>INT00138</t>
  </si>
  <si>
    <t>SES002306</t>
  </si>
  <si>
    <t>INT00139</t>
  </si>
  <si>
    <t>SES002401</t>
  </si>
  <si>
    <t>INT00140</t>
  </si>
  <si>
    <t>SES002402</t>
  </si>
  <si>
    <t>INT00141</t>
  </si>
  <si>
    <t>SES002403</t>
  </si>
  <si>
    <t>INT00142</t>
  </si>
  <si>
    <t>SES002404</t>
  </si>
  <si>
    <t>INT00143</t>
  </si>
  <si>
    <t>SES002405</t>
  </si>
  <si>
    <t>INT00144</t>
  </si>
  <si>
    <t>SES002406</t>
  </si>
  <si>
    <t>INT00145</t>
  </si>
  <si>
    <t>SES002501</t>
  </si>
  <si>
    <t>INT00146</t>
  </si>
  <si>
    <t>SES002502</t>
  </si>
  <si>
    <t>INT00147</t>
  </si>
  <si>
    <t>SES002503</t>
  </si>
  <si>
    <t>INT00148</t>
  </si>
  <si>
    <t>SES002504</t>
  </si>
  <si>
    <t>INT00149</t>
  </si>
  <si>
    <t>SES002505</t>
  </si>
  <si>
    <t>INT00150</t>
  </si>
  <si>
    <t>SES002506</t>
  </si>
  <si>
    <t>INT00151</t>
  </si>
  <si>
    <t>SES002601</t>
  </si>
  <si>
    <t>INT00152</t>
  </si>
  <si>
    <t>SES002602</t>
  </si>
  <si>
    <t>INT00153</t>
  </si>
  <si>
    <t>SES002603</t>
  </si>
  <si>
    <t>INT00154</t>
  </si>
  <si>
    <t>SES002604</t>
  </si>
  <si>
    <t>INT00155</t>
  </si>
  <si>
    <t>SES002605</t>
  </si>
  <si>
    <t>INT00156</t>
  </si>
  <si>
    <t>SES002606</t>
  </si>
  <si>
    <t>INT00157</t>
  </si>
  <si>
    <t>SES002701</t>
  </si>
  <si>
    <t>INT00158</t>
  </si>
  <si>
    <t>SES002702</t>
  </si>
  <si>
    <t>INT00159</t>
  </si>
  <si>
    <t>SES002703</t>
  </si>
  <si>
    <t>INT00160</t>
  </si>
  <si>
    <t>SES002704</t>
  </si>
  <si>
    <t>INT00161</t>
  </si>
  <si>
    <t>SES002705</t>
  </si>
  <si>
    <t>INT00162</t>
  </si>
  <si>
    <t>SES002706</t>
  </si>
  <si>
    <t>INT00163</t>
  </si>
  <si>
    <t>SES002801</t>
  </si>
  <si>
    <t>INT00164</t>
  </si>
  <si>
    <t>SES002802</t>
  </si>
  <si>
    <t>INT00165</t>
  </si>
  <si>
    <t>SES002803</t>
  </si>
  <si>
    <t>INT00166</t>
  </si>
  <si>
    <t>SES002804</t>
  </si>
  <si>
    <t>INT00167</t>
  </si>
  <si>
    <t>SES002805</t>
  </si>
  <si>
    <t>INT00168</t>
  </si>
  <si>
    <t>SES002806</t>
  </si>
  <si>
    <t>INT00169</t>
  </si>
  <si>
    <t>SES002901</t>
  </si>
  <si>
    <t>INT00170</t>
  </si>
  <si>
    <t>SES002902</t>
  </si>
  <si>
    <t>INT00171</t>
  </si>
  <si>
    <t>SES002903</t>
  </si>
  <si>
    <t>INT00172</t>
  </si>
  <si>
    <t>SES002904</t>
  </si>
  <si>
    <t>INT00173</t>
  </si>
  <si>
    <t>SES002905</t>
  </si>
  <si>
    <t>INT00174</t>
  </si>
  <si>
    <t>SES002906</t>
  </si>
  <si>
    <t>INT00175</t>
  </si>
  <si>
    <t>SES003001</t>
  </si>
  <si>
    <t>INT00176</t>
  </si>
  <si>
    <t>SES003002</t>
  </si>
  <si>
    <t>INT00177</t>
  </si>
  <si>
    <t>SES003003</t>
  </si>
  <si>
    <t>INT00178</t>
  </si>
  <si>
    <t>SES003004</t>
  </si>
  <si>
    <t>INT00179</t>
  </si>
  <si>
    <t>SES003005</t>
  </si>
  <si>
    <t>INT00180</t>
  </si>
  <si>
    <t>SES003006</t>
  </si>
  <si>
    <t>INT00181</t>
  </si>
  <si>
    <t>SES003101</t>
  </si>
  <si>
    <t>INT00182</t>
  </si>
  <si>
    <t>SES003102</t>
  </si>
  <si>
    <t>INT00183</t>
  </si>
  <si>
    <t>SES003103</t>
  </si>
  <si>
    <t>INT00184</t>
  </si>
  <si>
    <t>SES003104</t>
  </si>
  <si>
    <t>INT00185</t>
  </si>
  <si>
    <t>SES003105</t>
  </si>
  <si>
    <t>INT00186</t>
  </si>
  <si>
    <t>SES003106</t>
  </si>
  <si>
    <t>INT00187</t>
  </si>
  <si>
    <t>SES003201</t>
  </si>
  <si>
    <t>INT00188</t>
  </si>
  <si>
    <t>SES003202</t>
  </si>
  <si>
    <t>INT00189</t>
  </si>
  <si>
    <t>SES003203</t>
  </si>
  <si>
    <t>INT00190</t>
  </si>
  <si>
    <t>SES003204</t>
  </si>
  <si>
    <t>INT00191</t>
  </si>
  <si>
    <t>SES003205</t>
  </si>
  <si>
    <t>INT00192</t>
  </si>
  <si>
    <t>SES003206</t>
  </si>
  <si>
    <t>INT00193</t>
  </si>
  <si>
    <t>SES003301</t>
  </si>
  <si>
    <t>INT00194</t>
  </si>
  <si>
    <t>SES003302</t>
  </si>
  <si>
    <t>INT00195</t>
  </si>
  <si>
    <t>SES003303</t>
  </si>
  <si>
    <t>INT00196</t>
  </si>
  <si>
    <t>SES003304</t>
  </si>
  <si>
    <t>INT00197</t>
  </si>
  <si>
    <t>SES003305</t>
  </si>
  <si>
    <t>INT00198</t>
  </si>
  <si>
    <t>SES003306</t>
  </si>
  <si>
    <t>INT00199</t>
  </si>
  <si>
    <t>SES003401</t>
  </si>
  <si>
    <t>INT00200</t>
  </si>
  <si>
    <t>SES003402</t>
  </si>
  <si>
    <t>INT00201</t>
  </si>
  <si>
    <t>SES003403</t>
  </si>
  <si>
    <t>INT00202</t>
  </si>
  <si>
    <t>SES003404</t>
  </si>
  <si>
    <t>INT00203</t>
  </si>
  <si>
    <t>SES003405</t>
  </si>
  <si>
    <t>INT00204</t>
  </si>
  <si>
    <t>SES003406</t>
  </si>
  <si>
    <t>INT00205</t>
  </si>
  <si>
    <t>SES003501</t>
  </si>
  <si>
    <t>INT00206</t>
  </si>
  <si>
    <t>SES003502</t>
  </si>
  <si>
    <t>INT00207</t>
  </si>
  <si>
    <t>SES003503</t>
  </si>
  <si>
    <t>INT00208</t>
  </si>
  <si>
    <t>SES003504</t>
  </si>
  <si>
    <t>INT00209</t>
  </si>
  <si>
    <t>SES003505</t>
  </si>
  <si>
    <t>INT00210</t>
  </si>
  <si>
    <t>SES003506</t>
  </si>
  <si>
    <t>INT00211</t>
  </si>
  <si>
    <t>SES003601</t>
  </si>
  <si>
    <t>INT00212</t>
  </si>
  <si>
    <t>SES003602</t>
  </si>
  <si>
    <t>INT00213</t>
  </si>
  <si>
    <t>SES003603</t>
  </si>
  <si>
    <t>INT00214</t>
  </si>
  <si>
    <t>SES003604</t>
  </si>
  <si>
    <t>INT00215</t>
  </si>
  <si>
    <t>SES003605</t>
  </si>
  <si>
    <t>INT00216</t>
  </si>
  <si>
    <t>SES003606</t>
  </si>
  <si>
    <t>INT00217</t>
  </si>
  <si>
    <t>SES003701</t>
  </si>
  <si>
    <t>INT00218</t>
  </si>
  <si>
    <t>SES003702</t>
  </si>
  <si>
    <t>INT00219</t>
  </si>
  <si>
    <t>SES003703</t>
  </si>
  <si>
    <t>INT00220</t>
  </si>
  <si>
    <t>SES003704</t>
  </si>
  <si>
    <t>INT00221</t>
  </si>
  <si>
    <t>SES003705</t>
  </si>
  <si>
    <t>INT00222</t>
  </si>
  <si>
    <t>SES003706</t>
  </si>
  <si>
    <t>INT00223</t>
  </si>
  <si>
    <t>SES003801</t>
  </si>
  <si>
    <t>INT00224</t>
  </si>
  <si>
    <t>SES003802</t>
  </si>
  <si>
    <t>INT00225</t>
  </si>
  <si>
    <t>SES003803</t>
  </si>
  <si>
    <t>INT00226</t>
  </si>
  <si>
    <t>SES003804</t>
  </si>
  <si>
    <t>INT00227</t>
  </si>
  <si>
    <t>SES003805</t>
  </si>
  <si>
    <t>INT00228</t>
  </si>
  <si>
    <t>SES003806</t>
  </si>
  <si>
    <t>INT00229</t>
  </si>
  <si>
    <t>SES003901</t>
  </si>
  <si>
    <t>INT00230</t>
  </si>
  <si>
    <t>SES003902</t>
  </si>
  <si>
    <t>INT00231</t>
  </si>
  <si>
    <t>SES003903</t>
  </si>
  <si>
    <t>INT00232</t>
  </si>
  <si>
    <t>SES003904</t>
  </si>
  <si>
    <t>INT00233</t>
  </si>
  <si>
    <t>SES003905</t>
  </si>
  <si>
    <t>INT00234</t>
  </si>
  <si>
    <t>SES003906</t>
  </si>
  <si>
    <t>INT00235</t>
  </si>
  <si>
    <t>SES004001</t>
  </si>
  <si>
    <t>INT00236</t>
  </si>
  <si>
    <t>SES004002</t>
  </si>
  <si>
    <t>INT00237</t>
  </si>
  <si>
    <t>SES004003</t>
  </si>
  <si>
    <t>INT00238</t>
  </si>
  <si>
    <t>SES004004</t>
  </si>
  <si>
    <t>INT00239</t>
  </si>
  <si>
    <t>SES004005</t>
  </si>
  <si>
    <t>INT00240</t>
  </si>
  <si>
    <t>SES004006</t>
  </si>
  <si>
    <t>INT00241</t>
  </si>
  <si>
    <t>SES004101</t>
  </si>
  <si>
    <t>INT00242</t>
  </si>
  <si>
    <t>SES004102</t>
  </si>
  <si>
    <t>INT00243</t>
  </si>
  <si>
    <t>SES004103</t>
  </si>
  <si>
    <t>INT00244</t>
  </si>
  <si>
    <t>SES004104</t>
  </si>
  <si>
    <t>INT00245</t>
  </si>
  <si>
    <t>SES004105</t>
  </si>
  <si>
    <t>INT00246</t>
  </si>
  <si>
    <t>SES004106</t>
  </si>
  <si>
    <t>INT00247</t>
  </si>
  <si>
    <t>SES004201</t>
  </si>
  <si>
    <t>INT00248</t>
  </si>
  <si>
    <t>SES004202</t>
  </si>
  <si>
    <t>INT00249</t>
  </si>
  <si>
    <t>SES004203</t>
  </si>
  <si>
    <t>INT00250</t>
  </si>
  <si>
    <t>SES004204</t>
  </si>
  <si>
    <t>INT00251</t>
  </si>
  <si>
    <t>SES004205</t>
  </si>
  <si>
    <t>INT00252</t>
  </si>
  <si>
    <t>SES004206</t>
  </si>
  <si>
    <t>INT00253</t>
  </si>
  <si>
    <t>SES004301</t>
  </si>
  <si>
    <t>INT00254</t>
  </si>
  <si>
    <t>SES004302</t>
  </si>
  <si>
    <t>INT00255</t>
  </si>
  <si>
    <t>SES004303</t>
  </si>
  <si>
    <t>INT00256</t>
  </si>
  <si>
    <t>SES004304</t>
  </si>
  <si>
    <t>INT00257</t>
  </si>
  <si>
    <t>SES004305</t>
  </si>
  <si>
    <t>INT00258</t>
  </si>
  <si>
    <t>SES004306</t>
  </si>
  <si>
    <t>INT00259</t>
  </si>
  <si>
    <t>SES004401</t>
  </si>
  <si>
    <t>INT00260</t>
  </si>
  <si>
    <t>SES004402</t>
  </si>
  <si>
    <t>INT00261</t>
  </si>
  <si>
    <t>SES004403</t>
  </si>
  <si>
    <t>INT00262</t>
  </si>
  <si>
    <t>SES004404</t>
  </si>
  <si>
    <t>INT00263</t>
  </si>
  <si>
    <t>SES004405</t>
  </si>
  <si>
    <t>INT00264</t>
  </si>
  <si>
    <t>SES004406</t>
  </si>
  <si>
    <t>INT00265</t>
  </si>
  <si>
    <t>SES004501</t>
  </si>
  <si>
    <t>INT00266</t>
  </si>
  <si>
    <t>SES004502</t>
  </si>
  <si>
    <t>INT00267</t>
  </si>
  <si>
    <t>SES004503</t>
  </si>
  <si>
    <t>INT00268</t>
  </si>
  <si>
    <t>SES004504</t>
  </si>
  <si>
    <t>INT00269</t>
  </si>
  <si>
    <t>Khuyến mãi Tết</t>
  </si>
  <si>
    <t>Promotion</t>
  </si>
  <si>
    <t>SES004505</t>
  </si>
  <si>
    <t>INT00270</t>
  </si>
  <si>
    <t>SES004506</t>
  </si>
  <si>
    <t>INT00271</t>
  </si>
  <si>
    <t>SES004601</t>
  </si>
  <si>
    <t>Email/App</t>
  </si>
  <si>
    <t>Khách hàng hiện hữu</t>
  </si>
  <si>
    <t>Completed</t>
  </si>
  <si>
    <t>INT00272</t>
  </si>
  <si>
    <t>SES004602</t>
  </si>
  <si>
    <t>Hè năng động</t>
  </si>
  <si>
    <t>INT00273</t>
  </si>
  <si>
    <t>Seasonal</t>
  </si>
  <si>
    <t>Khách hàng trẻ</t>
  </si>
  <si>
    <t>SES004603</t>
  </si>
  <si>
    <t>Ngày hội thành viên</t>
  </si>
  <si>
    <t>INT00274</t>
  </si>
  <si>
    <t>Loyalty</t>
  </si>
  <si>
    <t>Khách mua lặp lại</t>
  </si>
  <si>
    <t>SES004604</t>
  </si>
  <si>
    <t>Ưu đãi cuối năm</t>
  </si>
  <si>
    <t>INT00275</t>
  </si>
  <si>
    <t>Đa kênh</t>
  </si>
  <si>
    <t>Khách tiềm năng</t>
  </si>
  <si>
    <t>SES004605</t>
  </si>
  <si>
    <t>INT00276</t>
  </si>
  <si>
    <t>SES004606</t>
  </si>
  <si>
    <t>INT00277</t>
  </si>
  <si>
    <t>SES004701</t>
  </si>
  <si>
    <t>INT00278</t>
  </si>
  <si>
    <t>SES004702</t>
  </si>
  <si>
    <t>INT00279</t>
  </si>
  <si>
    <t>SES004703</t>
  </si>
  <si>
    <t>INT00280</t>
  </si>
  <si>
    <t>SES004704</t>
  </si>
  <si>
    <t>INT00281</t>
  </si>
  <si>
    <t>SES004705</t>
  </si>
  <si>
    <t>INT00282</t>
  </si>
  <si>
    <t>SES004706</t>
  </si>
  <si>
    <t>INT00283</t>
  </si>
  <si>
    <t>SES004801</t>
  </si>
  <si>
    <t>INT00284</t>
  </si>
  <si>
    <t>SES004802</t>
  </si>
  <si>
    <t>INT00285</t>
  </si>
  <si>
    <t>SES004803</t>
  </si>
  <si>
    <t>INT00286</t>
  </si>
  <si>
    <t>SES004804</t>
  </si>
  <si>
    <t>INT00287</t>
  </si>
  <si>
    <t>SES004805</t>
  </si>
  <si>
    <t>INT00288</t>
  </si>
  <si>
    <t>SES004806</t>
  </si>
  <si>
    <t>INT00289</t>
  </si>
  <si>
    <t>SES004901</t>
  </si>
  <si>
    <t>INT00290</t>
  </si>
  <si>
    <t>SES004902</t>
  </si>
  <si>
    <t>INT00291</t>
  </si>
  <si>
    <t>SES004903</t>
  </si>
  <si>
    <t>INT00292</t>
  </si>
  <si>
    <t>SES004904</t>
  </si>
  <si>
    <t>INT00293</t>
  </si>
  <si>
    <t>SES004905</t>
  </si>
  <si>
    <t>INT00294</t>
  </si>
  <si>
    <t>SES004906</t>
  </si>
  <si>
    <t>INT00295</t>
  </si>
  <si>
    <t>SES005001</t>
  </si>
  <si>
    <t>INT00296</t>
  </si>
  <si>
    <t>SES005002</t>
  </si>
  <si>
    <t>INT00297</t>
  </si>
  <si>
    <t>SES005003</t>
  </si>
  <si>
    <t>INT00298</t>
  </si>
  <si>
    <t>SES005004</t>
  </si>
  <si>
    <t>INT00299</t>
  </si>
  <si>
    <t>SES005005</t>
  </si>
  <si>
    <t>INT00300</t>
  </si>
  <si>
    <t>SES005006</t>
  </si>
  <si>
    <t>INT00301</t>
  </si>
  <si>
    <t>SES005101</t>
  </si>
  <si>
    <t>INT00302</t>
  </si>
  <si>
    <t>SES005102</t>
  </si>
  <si>
    <t>INT00303</t>
  </si>
  <si>
    <t>SES005103</t>
  </si>
  <si>
    <t>INT00304</t>
  </si>
  <si>
    <t>SES005104</t>
  </si>
  <si>
    <t>INT00305</t>
  </si>
  <si>
    <t>SES005105</t>
  </si>
  <si>
    <t>INT00306</t>
  </si>
  <si>
    <t>SES005106</t>
  </si>
  <si>
    <t>INT00307</t>
  </si>
  <si>
    <t>SES005201</t>
  </si>
  <si>
    <t>INT00308</t>
  </si>
  <si>
    <t>SES005202</t>
  </si>
  <si>
    <t>INT00309</t>
  </si>
  <si>
    <t>SES005203</t>
  </si>
  <si>
    <t>INT00310</t>
  </si>
  <si>
    <t>SES005204</t>
  </si>
  <si>
    <t>INT00311</t>
  </si>
  <si>
    <t>SES005205</t>
  </si>
  <si>
    <t>INT00312</t>
  </si>
  <si>
    <t>SES005206</t>
  </si>
  <si>
    <t>INT00313</t>
  </si>
  <si>
    <t>SES005301</t>
  </si>
  <si>
    <t>INT00314</t>
  </si>
  <si>
    <t>SES005302</t>
  </si>
  <si>
    <t>INT00315</t>
  </si>
  <si>
    <t>SES005303</t>
  </si>
  <si>
    <t>INT00316</t>
  </si>
  <si>
    <t>SES005304</t>
  </si>
  <si>
    <t>INT00317</t>
  </si>
  <si>
    <t>SES005305</t>
  </si>
  <si>
    <t>INT00318</t>
  </si>
  <si>
    <t>SES005306</t>
  </si>
  <si>
    <t>INT00319</t>
  </si>
  <si>
    <t>SES005401</t>
  </si>
  <si>
    <t>INT00320</t>
  </si>
  <si>
    <t>SES005402</t>
  </si>
  <si>
    <t>INT00321</t>
  </si>
  <si>
    <t>SES005403</t>
  </si>
  <si>
    <t>INT00322</t>
  </si>
  <si>
    <t>SES005404</t>
  </si>
  <si>
    <t>INT00323</t>
  </si>
  <si>
    <t>SES005405</t>
  </si>
  <si>
    <t>INT00324</t>
  </si>
  <si>
    <t>SES005406</t>
  </si>
  <si>
    <t>INT00325</t>
  </si>
  <si>
    <t>SES005501</t>
  </si>
  <si>
    <t>INT00326</t>
  </si>
  <si>
    <t>SES005502</t>
  </si>
  <si>
    <t>INT00327</t>
  </si>
  <si>
    <t>SES005503</t>
  </si>
  <si>
    <t>INT00328</t>
  </si>
  <si>
    <t>SES005504</t>
  </si>
  <si>
    <t>INT00329</t>
  </si>
  <si>
    <t>SES005505</t>
  </si>
  <si>
    <t>INT00330</t>
  </si>
  <si>
    <t>SES005506</t>
  </si>
  <si>
    <t>INT00331</t>
  </si>
  <si>
    <t>SES005601</t>
  </si>
  <si>
    <t>INT00332</t>
  </si>
  <si>
    <t>SES005602</t>
  </si>
  <si>
    <t>INT00333</t>
  </si>
  <si>
    <t>SES005603</t>
  </si>
  <si>
    <t>INT00334</t>
  </si>
  <si>
    <t>SES005604</t>
  </si>
  <si>
    <t>INT00335</t>
  </si>
  <si>
    <t>SES005605</t>
  </si>
  <si>
    <t>INT00336</t>
  </si>
  <si>
    <t>SES005606</t>
  </si>
  <si>
    <t>INT00337</t>
  </si>
  <si>
    <t>SES005701</t>
  </si>
  <si>
    <t>INT00338</t>
  </si>
  <si>
    <t>SES005702</t>
  </si>
  <si>
    <t>INT00339</t>
  </si>
  <si>
    <t>SES005703</t>
  </si>
  <si>
    <t>INT00340</t>
  </si>
  <si>
    <t>SES005704</t>
  </si>
  <si>
    <t>INT00341</t>
  </si>
  <si>
    <t>SES005705</t>
  </si>
  <si>
    <t>INT00342</t>
  </si>
  <si>
    <t>SES005706</t>
  </si>
  <si>
    <t>INT00343</t>
  </si>
  <si>
    <t>SES005801</t>
  </si>
  <si>
    <t>INT00344</t>
  </si>
  <si>
    <t>SES005802</t>
  </si>
  <si>
    <t>INT00345</t>
  </si>
  <si>
    <t>SES005803</t>
  </si>
  <si>
    <t>INT00346</t>
  </si>
  <si>
    <t>SES005804</t>
  </si>
  <si>
    <t>INT00347</t>
  </si>
  <si>
    <t>SES005805</t>
  </si>
  <si>
    <t>INT00348</t>
  </si>
  <si>
    <t>SES005806</t>
  </si>
  <si>
    <t>INT00349</t>
  </si>
  <si>
    <t>SES005901</t>
  </si>
  <si>
    <t>INT00350</t>
  </si>
  <si>
    <t>SES005902</t>
  </si>
  <si>
    <t>INT00351</t>
  </si>
  <si>
    <t>SES005903</t>
  </si>
  <si>
    <t>INT00352</t>
  </si>
  <si>
    <t>SES005904</t>
  </si>
  <si>
    <t>INT00353</t>
  </si>
  <si>
    <t>SES005905</t>
  </si>
  <si>
    <t>INT00354</t>
  </si>
  <si>
    <t>SES005906</t>
  </si>
  <si>
    <t>INT00355</t>
  </si>
  <si>
    <t>SES006001</t>
  </si>
  <si>
    <t>INT00356</t>
  </si>
  <si>
    <t>SES006002</t>
  </si>
  <si>
    <t>INT00357</t>
  </si>
  <si>
    <t>SES006003</t>
  </si>
  <si>
    <t>INT00358</t>
  </si>
  <si>
    <t>SES006004</t>
  </si>
  <si>
    <t>INT00359</t>
  </si>
  <si>
    <t>SES006005</t>
  </si>
  <si>
    <t>INT00360</t>
  </si>
  <si>
    <t>SES006006</t>
  </si>
  <si>
    <t>INT00361</t>
  </si>
  <si>
    <t>SES006101</t>
  </si>
  <si>
    <t>INT00362</t>
  </si>
  <si>
    <t>SES006102</t>
  </si>
  <si>
    <t>Rule-based prototype</t>
  </si>
  <si>
    <t>INT00363</t>
  </si>
  <si>
    <t>SES006103</t>
  </si>
  <si>
    <t>INT00364</t>
  </si>
  <si>
    <t>SES006104</t>
  </si>
  <si>
    <t>INT00365</t>
  </si>
  <si>
    <t>SES006105</t>
  </si>
  <si>
    <t>INT00366</t>
  </si>
  <si>
    <t>SES006106</t>
  </si>
  <si>
    <t>INT00367</t>
  </si>
  <si>
    <t>SES006201</t>
  </si>
  <si>
    <t>INT00368</t>
  </si>
  <si>
    <t>SES006202</t>
  </si>
  <si>
    <t>INT00369</t>
  </si>
  <si>
    <t>SES006203</t>
  </si>
  <si>
    <t>INT00370</t>
  </si>
  <si>
    <t>SES006204</t>
  </si>
  <si>
    <t>INT00371</t>
  </si>
  <si>
    <t>SES006205</t>
  </si>
  <si>
    <t>INT00372</t>
  </si>
  <si>
    <t>SES006206</t>
  </si>
  <si>
    <t>INT00373</t>
  </si>
  <si>
    <t>SES006301</t>
  </si>
  <si>
    <t>INT00374</t>
  </si>
  <si>
    <t>SES006302</t>
  </si>
  <si>
    <t>INT00375</t>
  </si>
  <si>
    <t>SES006303</t>
  </si>
  <si>
    <t>INT00376</t>
  </si>
  <si>
    <t>SES006304</t>
  </si>
  <si>
    <t>INT00377</t>
  </si>
  <si>
    <t>SES006305</t>
  </si>
  <si>
    <t>INT00378</t>
  </si>
  <si>
    <t>SES006306</t>
  </si>
  <si>
    <t>INT00379</t>
  </si>
  <si>
    <t>SES006401</t>
  </si>
  <si>
    <t>INT00380</t>
  </si>
  <si>
    <t>SES006402</t>
  </si>
  <si>
    <t>INT00381</t>
  </si>
  <si>
    <t>SES006403</t>
  </si>
  <si>
    <t>INT00382</t>
  </si>
  <si>
    <t>SES006404</t>
  </si>
  <si>
    <t>INT00383</t>
  </si>
  <si>
    <t>SES006405</t>
  </si>
  <si>
    <t>INT00384</t>
  </si>
  <si>
    <t>SES006406</t>
  </si>
  <si>
    <t>INT00385</t>
  </si>
  <si>
    <t>SES006501</t>
  </si>
  <si>
    <t>INT00386</t>
  </si>
  <si>
    <t>SES006502</t>
  </si>
  <si>
    <t>INT00387</t>
  </si>
  <si>
    <t>SES006503</t>
  </si>
  <si>
    <t>INT00388</t>
  </si>
  <si>
    <t>SES006504</t>
  </si>
  <si>
    <t>INT00389</t>
  </si>
  <si>
    <t>SES006505</t>
  </si>
  <si>
    <t>INT00390</t>
  </si>
  <si>
    <t>SES006506</t>
  </si>
  <si>
    <t>INT00391</t>
  </si>
  <si>
    <t>SES006601</t>
  </si>
  <si>
    <t>INT00392</t>
  </si>
  <si>
    <t>SES006602</t>
  </si>
  <si>
    <t>INT00393</t>
  </si>
  <si>
    <t>SES006603</t>
  </si>
  <si>
    <t>INT00394</t>
  </si>
  <si>
    <t>SES006604</t>
  </si>
  <si>
    <t>INT00395</t>
  </si>
  <si>
    <t>SES006605</t>
  </si>
  <si>
    <t>INT00396</t>
  </si>
  <si>
    <t>SES006606</t>
  </si>
  <si>
    <t>INT00397</t>
  </si>
  <si>
    <t>SES006701</t>
  </si>
  <si>
    <t>INT00398</t>
  </si>
  <si>
    <t>SES006702</t>
  </si>
  <si>
    <t>INT00399</t>
  </si>
  <si>
    <t>SES006703</t>
  </si>
  <si>
    <t>INT00400</t>
  </si>
  <si>
    <t>SES006704</t>
  </si>
  <si>
    <t>INT00401</t>
  </si>
  <si>
    <t>SES006705</t>
  </si>
  <si>
    <t>INT00402</t>
  </si>
  <si>
    <t>SES006706</t>
  </si>
  <si>
    <t>INT00403</t>
  </si>
  <si>
    <t>SES006801</t>
  </si>
  <si>
    <t>INT00404</t>
  </si>
  <si>
    <t>SES006802</t>
  </si>
  <si>
    <t>INT00405</t>
  </si>
  <si>
    <t>SES006803</t>
  </si>
  <si>
    <t>INT00406</t>
  </si>
  <si>
    <t>RUN001</t>
  </si>
  <si>
    <t>SES006804</t>
  </si>
  <si>
    <t>RFM + Potential Score</t>
  </si>
  <si>
    <t>RULE-V1</t>
  </si>
  <si>
    <t>INT00407</t>
  </si>
  <si>
    <t>Interaction 15% dùng dữ liệu tương tác mô phỏng trước mua</t>
  </si>
  <si>
    <t>SES006805</t>
  </si>
  <si>
    <t>RUN002</t>
  </si>
  <si>
    <t>Machine Learning</t>
  </si>
  <si>
    <t>N/A</t>
  </si>
  <si>
    <t>Not trained</t>
  </si>
  <si>
    <t>INT00408</t>
  </si>
  <si>
    <t>Dataset 200 đơn chưa đủ nghiệm thu ML thực tế</t>
  </si>
  <si>
    <t>SES006806</t>
  </si>
  <si>
    <t>INT00409</t>
  </si>
  <si>
    <t>SES006901</t>
  </si>
  <si>
    <t>INT00410</t>
  </si>
  <si>
    <t>SES006902</t>
  </si>
  <si>
    <t>INT00411</t>
  </si>
  <si>
    <t>SES006903</t>
  </si>
  <si>
    <t>INT00412</t>
  </si>
  <si>
    <t>SES006904</t>
  </si>
  <si>
    <t>INT00413</t>
  </si>
  <si>
    <t>SES006905</t>
  </si>
  <si>
    <t>INT00414</t>
  </si>
  <si>
    <t>SES006906</t>
  </si>
  <si>
    <t>INT00415</t>
  </si>
  <si>
    <t>SES007001</t>
  </si>
  <si>
    <t>INT00416</t>
  </si>
  <si>
    <t>SES007002</t>
  </si>
  <si>
    <t>INT00417</t>
  </si>
  <si>
    <t>SES007003</t>
  </si>
  <si>
    <t>INT00418</t>
  </si>
  <si>
    <t>SES007004</t>
  </si>
  <si>
    <t>INT00419</t>
  </si>
  <si>
    <t>SES007005</t>
  </si>
  <si>
    <t>INT00420</t>
  </si>
  <si>
    <t>SES007006</t>
  </si>
  <si>
    <t>INT00421</t>
  </si>
  <si>
    <t>SES007101</t>
  </si>
  <si>
    <t>INT00422</t>
  </si>
  <si>
    <t>SES007102</t>
  </si>
  <si>
    <t>INT00423</t>
  </si>
  <si>
    <t>SES007103</t>
  </si>
  <si>
    <t>INT00424</t>
  </si>
  <si>
    <t>SES007104</t>
  </si>
  <si>
    <t>INT00425</t>
  </si>
  <si>
    <t>SES007105</t>
  </si>
  <si>
    <t>INT00426</t>
  </si>
  <si>
    <t>SES007106</t>
  </si>
  <si>
    <t>INT00427</t>
  </si>
  <si>
    <t>SES007201</t>
  </si>
  <si>
    <t>INT00428</t>
  </si>
  <si>
    <t>SES007202</t>
  </si>
  <si>
    <t>INT00429</t>
  </si>
  <si>
    <t>SES007203</t>
  </si>
  <si>
    <t>INT00430</t>
  </si>
  <si>
    <t>SES007204</t>
  </si>
  <si>
    <t>INT00431</t>
  </si>
  <si>
    <t>SES007205</t>
  </si>
  <si>
    <t>INT00432</t>
  </si>
  <si>
    <t>SES007206</t>
  </si>
  <si>
    <t>INT00433</t>
  </si>
  <si>
    <t>SES007301</t>
  </si>
  <si>
    <t>INT00434</t>
  </si>
  <si>
    <t>SES007302</t>
  </si>
  <si>
    <t>INT00435</t>
  </si>
  <si>
    <t>SES007303</t>
  </si>
  <si>
    <t>INT00436</t>
  </si>
  <si>
    <t>SES007304</t>
  </si>
  <si>
    <t>INT00437</t>
  </si>
  <si>
    <t>SES007305</t>
  </si>
  <si>
    <t>INT00438</t>
  </si>
  <si>
    <t>SES007306</t>
  </si>
  <si>
    <t>INT00439</t>
  </si>
  <si>
    <t>SES007401</t>
  </si>
  <si>
    <t>INT00440</t>
  </si>
  <si>
    <t>SES007402</t>
  </si>
  <si>
    <t>INT00441</t>
  </si>
  <si>
    <t>SES007403</t>
  </si>
  <si>
    <t>INT00442</t>
  </si>
  <si>
    <t>SES007404</t>
  </si>
  <si>
    <t>INT00443</t>
  </si>
  <si>
    <t>SES007405</t>
  </si>
  <si>
    <t>INT00444</t>
  </si>
  <si>
    <t>SES007406</t>
  </si>
  <si>
    <t>INT00445</t>
  </si>
  <si>
    <t>SES007501</t>
  </si>
  <si>
    <t>INT00446</t>
  </si>
  <si>
    <t>SES007502</t>
  </si>
  <si>
    <t>INT00447</t>
  </si>
  <si>
    <t>SES007503</t>
  </si>
  <si>
    <t>INT00448</t>
  </si>
  <si>
    <t>SES007504</t>
  </si>
  <si>
    <t>INT00449</t>
  </si>
  <si>
    <t>SES007505</t>
  </si>
  <si>
    <t>INT00450</t>
  </si>
  <si>
    <t>SES007506</t>
  </si>
  <si>
    <t>INT00451</t>
  </si>
  <si>
    <t>SES007601</t>
  </si>
  <si>
    <t>INT00452</t>
  </si>
  <si>
    <t>SES007602</t>
  </si>
  <si>
    <t>INT00453</t>
  </si>
  <si>
    <t>SES007603</t>
  </si>
  <si>
    <t>INT00454</t>
  </si>
  <si>
    <t>SES007604</t>
  </si>
  <si>
    <t>INT00455</t>
  </si>
  <si>
    <t>SES007605</t>
  </si>
  <si>
    <t>INT00456</t>
  </si>
  <si>
    <t>SES007606</t>
  </si>
  <si>
    <t>INT00457</t>
  </si>
  <si>
    <t>SES007701</t>
  </si>
  <si>
    <t>INT00458</t>
  </si>
  <si>
    <t>SES007702</t>
  </si>
  <si>
    <t>INT00459</t>
  </si>
  <si>
    <t>SES007703</t>
  </si>
  <si>
    <t>INT00460</t>
  </si>
  <si>
    <t>SES007704</t>
  </si>
  <si>
    <t>INT00461</t>
  </si>
  <si>
    <t>SES007705</t>
  </si>
  <si>
    <t>INT00462</t>
  </si>
  <si>
    <t>SES007706</t>
  </si>
  <si>
    <t>INT00463</t>
  </si>
  <si>
    <t>SES007801</t>
  </si>
  <si>
    <t>INT00464</t>
  </si>
  <si>
    <t>SES007802</t>
  </si>
  <si>
    <t>INT00465</t>
  </si>
  <si>
    <t>SES007803</t>
  </si>
  <si>
    <t>INT00466</t>
  </si>
  <si>
    <t>SES007804</t>
  </si>
  <si>
    <t>INT00467</t>
  </si>
  <si>
    <t>SES007805</t>
  </si>
  <si>
    <t>INT00468</t>
  </si>
  <si>
    <t>SES007806</t>
  </si>
  <si>
    <t>INT00469</t>
  </si>
  <si>
    <t>SES007901</t>
  </si>
  <si>
    <t>INT00470</t>
  </si>
  <si>
    <t>SES007902</t>
  </si>
  <si>
    <t>INT00471</t>
  </si>
  <si>
    <t>SES007903</t>
  </si>
  <si>
    <t>INT00472</t>
  </si>
  <si>
    <t>SES007904</t>
  </si>
  <si>
    <t>INT00473</t>
  </si>
  <si>
    <t>SES007905</t>
  </si>
  <si>
    <t>INT00474</t>
  </si>
  <si>
    <t>SES007906</t>
  </si>
  <si>
    <t>INT00475</t>
  </si>
  <si>
    <t>SES008001</t>
  </si>
  <si>
    <t>INT00476</t>
  </si>
  <si>
    <t>SES008002</t>
  </si>
  <si>
    <t>INT00477</t>
  </si>
  <si>
    <t>SES008003</t>
  </si>
  <si>
    <t>INT00478</t>
  </si>
  <si>
    <t>SES008004</t>
  </si>
  <si>
    <t>INT00479</t>
  </si>
  <si>
    <t>SES008005</t>
  </si>
  <si>
    <t>INT00480</t>
  </si>
  <si>
    <t>SES008006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</si>
</sst>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#,##0 &quot;₫&quot;"/>
    <numFmt numFmtId="166" formatCode="yyyy-mm-dd h:mm:ss"/>
    <numFmt numFmtId="167" formatCode="mm/dd/yyyy h:mm"/>
    <numFmt numFmtId="168" formatCode="yyyy-mm-dd hh:mm:ss"/>
  </numFmts>
  <fonts count="6">
    <font>
      <sz val="10.0"/>
      <color rgb="FF000000"/>
      <name val="Arial"/>
      <scheme val="minor"/>
    </font>
    <font>
      <b/>
      <sz val="10.0"/>
      <color rgb="FF1F2937"/>
      <name val="Arial"/>
    </font>
    <font>
      <b/>
      <sz val="11.0"/>
      <color rgb="FF000000"/>
      <name val="Carlito"/>
    </font>
    <font>
      <color rgb="FF000000"/>
      <name val="Arial"/>
      <scheme val="minor"/>
    </font>
    <font>
      <sz val="10.0"/>
      <color rgb="FF1E1E1E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1EAF1"/>
        <bgColor rgb="FFE1EAF1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C5D0DB"/>
      </left>
      <right style="thin">
        <color rgb="FFC5D0DB"/>
      </right>
      <top style="thin">
        <color rgb="FFC5D0DB"/>
      </top>
      <bottom style="medium">
        <color rgb="FF3A82C5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E4E7EB"/>
      </left>
      <right style="thin">
        <color rgb="FFE4E7EB"/>
      </right>
      <top style="thin">
        <color rgb="FFE4E7EB"/>
      </top>
      <bottom style="thin">
        <color rgb="FFE4E7EB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left" readingOrder="0"/>
    </xf>
    <xf borderId="3" fillId="3" fontId="2" numFmtId="0" xfId="0" applyAlignment="1" applyBorder="1" applyFill="1" applyFont="1">
      <alignment horizontal="left" readingOrder="0"/>
    </xf>
    <xf borderId="0" fillId="3" fontId="3" numFmtId="0" xfId="0" applyFill="1" applyFont="1"/>
    <xf borderId="4" fillId="3" fontId="4" numFmtId="0" xfId="0" applyAlignment="1" applyBorder="1" applyFill="1" applyFont="1">
      <alignment horizontal="left" readingOrder="0" shrinkToFit="0" vertical="center" wrapText="0"/>
    </xf>
    <xf borderId="4" fillId="3" fontId="4" numFmtId="0" xfId="0" applyAlignment="1" applyBorder="1" applyFill="1" applyFont="1">
      <alignment horizontal="right" readingOrder="0" shrinkToFit="0" vertical="center" wrapText="0"/>
    </xf>
    <xf borderId="4" fillId="3" fontId="4" numFmtId="164" xfId="0" applyAlignment="1" applyBorder="1" applyFill="1" applyFont="1" applyNumberFormat="1">
      <alignment horizontal="right" readingOrder="0" shrinkToFit="0" vertical="center" wrapText="0"/>
    </xf>
    <xf borderId="4" fillId="3" fontId="4" numFmtId="3" xfId="0" applyAlignment="1" applyBorder="1" applyFill="1" applyFont="1" applyNumberFormat="1">
      <alignment horizontal="right" readingOrder="0" shrinkToFit="0" vertical="center" wrapText="0"/>
    </xf>
    <xf borderId="4" fillId="3" fontId="4" numFmtId="0" xfId="0" applyAlignment="1" applyBorder="1" applyFill="1" applyFont="1">
      <alignment horizontal="left" readingOrder="0" vertical="center"/>
    </xf>
    <xf borderId="4" fillId="3" fontId="4" numFmtId="165" xfId="0" applyAlignment="1" applyBorder="1" applyFill="1" applyFont="1" applyNumberFormat="1">
      <alignment horizontal="left" readingOrder="0" shrinkToFit="0" vertical="center" wrapText="0"/>
    </xf>
    <xf borderId="4" fillId="3" fontId="4" numFmtId="49" xfId="0" applyAlignment="1" applyBorder="1" applyFill="1" applyFont="1" applyNumberFormat="1">
      <alignment horizontal="left" readingOrder="0" shrinkToFit="0" vertical="center" wrapText="0"/>
    </xf>
    <xf borderId="4" fillId="3" fontId="4" numFmtId="166" xfId="0" applyAlignment="1" applyBorder="1" applyFill="1" applyFont="1" applyNumberFormat="1">
      <alignment horizontal="right" readingOrder="0" shrinkToFit="0" vertical="center" wrapText="0"/>
    </xf>
    <xf borderId="0" fillId="3" fontId="5" numFmtId="0" xfId="0" applyFill="1" applyFont="1"/>
    <xf borderId="4" fillId="3" fontId="4" numFmtId="165" xfId="0" applyAlignment="1" applyBorder="1" applyFill="1" applyFont="1" applyNumberFormat="1">
      <alignment horizontal="right" readingOrder="0" shrinkToFit="0" vertical="center" wrapText="0"/>
    </xf>
    <xf borderId="4" fillId="3" fontId="4" numFmtId="165" xfId="0" applyAlignment="1" applyBorder="1" applyFill="1" applyFont="1" applyNumberFormat="1">
      <alignment horizontal="left" readingOrder="0" vertical="center"/>
    </xf>
    <xf borderId="4" fillId="3" fontId="4" numFmtId="49" xfId="0" applyAlignment="1" applyBorder="1" applyFill="1" applyFont="1" applyNumberFormat="1">
      <alignment horizontal="left" readingOrder="0" vertical="center"/>
    </xf>
    <xf borderId="0" fillId="0" fontId="5" numFmtId="167" xfId="0" applyAlignment="1" applyFont="1" applyNumberFormat="1">
      <alignment readingOrder="0"/>
    </xf>
    <xf borderId="4" fillId="3" fontId="4" numFmtId="0" xfId="0" applyAlignment="1" applyBorder="1" applyFill="1" applyFont="1">
      <alignment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vertical="center"/>
    </xf>
    <xf borderId="0" fillId="0" fontId="3" numFmtId="0" xfId="0" applyFont="1"/>
    <xf borderId="1" fillId="2" fontId="1" numFmtId="0" xfId="0" applyAlignment="1" applyBorder="1" applyFill="1" applyFont="1">
      <alignment horizontal="center" readingOrder="0" shrinkToFit="0" vertical="center" wrapText="1"/>
    </xf>
    <xf borderId="4" fillId="3" fontId="4" numFmtId="0" xfId="0" applyAlignment="1" applyBorder="1" applyFill="1" applyFont="1">
      <alignment readingOrder="0" vertical="center"/>
    </xf>
    <xf quotePrefix="1" borderId="4" fillId="3" fontId="4" numFmtId="0" xfId="0" applyAlignment="1" applyBorder="1" applyFill="1" applyFont="1">
      <alignment readingOrder="0" vertical="center"/>
    </xf>
    <xf borderId="4" fillId="3" fontId="4" numFmtId="168" xfId="0" applyAlignment="1" applyBorder="1" applyFill="1" applyFont="1" applyNumberFormat="1">
      <alignment readingOrder="0" vertical="center"/>
    </xf>
    <xf borderId="4" fillId="3" fontId="4" numFmtId="164" xfId="0" applyAlignment="1" applyBorder="1" applyFill="1" applyFont="1" applyNumberFormat="1">
      <alignment readingOrder="0" vertical="center"/>
    </xf>
    <xf borderId="4" fillId="3" fontId="4" numFmtId="4" xfId="0" applyAlignment="1" applyBorder="1" applyFill="1" applyFont="1" applyNumberFormat="1">
      <alignment readingOrder="0" vertical="center"/>
    </xf>
    <xf borderId="4" fillId="3" fontId="4" numFmtId="4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82C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6.75"/>
    <col customWidth="1" min="3" max="3" width="20.63"/>
    <col customWidth="1" min="4" max="4" width="14.75"/>
    <col customWidth="1" min="5" max="5" width="12.5"/>
    <col customWidth="1" min="6" max="6" width="15.88"/>
    <col customWidth="1" min="7" max="7" width="9.0"/>
    <col customWidth="1" min="8" max="8" width="13.5"/>
    <col customWidth="1" min="9" max="9" width="16.0"/>
    <col customWidth="1" min="10" max="10" width="10.88"/>
    <col customWidth="1" min="11" max="11" width="14.75"/>
    <col customWidth="1" min="12" max="12" width="10.0"/>
    <col customWidth="1" min="13" max="13" width="15.25"/>
    <col customWidth="1" min="14" max="14" width="21.25"/>
  </cols>
  <sheetData>
    <row r="1" ht="27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17</v>
      </c>
      <c r="N1" s="1" t="s">
        <v>18</v>
      </c>
      <c r="O1" s="2"/>
      <c r="P1" s="2"/>
      <c r="Q1" s="2"/>
      <c r="R1" s="2"/>
      <c r="S1" s="2"/>
      <c r="T1" s="2"/>
      <c r="U1" s="2"/>
      <c r="V1" s="3"/>
    </row>
    <row r="2" ht="18.0" customHeight="1">
      <c r="A2" s="5" t="s">
        <v>30</v>
      </c>
      <c r="B2" s="5" t="s">
        <v>36</v>
      </c>
      <c r="C2" s="5">
        <v>55000.0</v>
      </c>
      <c r="D2" s="5" t="s">
        <v>39</v>
      </c>
      <c r="E2" s="5" t="s">
        <v>41</v>
      </c>
      <c r="F2" s="5" t="s">
        <v>45</v>
      </c>
      <c r="G2" s="5" t="s">
        <v>46</v>
      </c>
      <c r="H2" s="5" t="s">
        <v>39</v>
      </c>
      <c r="I2" s="5" t="s">
        <v>49</v>
      </c>
      <c r="J2" s="5" t="s">
        <v>50</v>
      </c>
      <c r="K2" s="7">
        <v>45421.0</v>
      </c>
      <c r="L2" s="9" t="s">
        <v>59</v>
      </c>
      <c r="M2" s="9" t="s">
        <v>60</v>
      </c>
      <c r="N2" s="9" t="s">
        <v>62</v>
      </c>
      <c r="O2" s="2"/>
      <c r="P2" s="2"/>
      <c r="Q2" s="2"/>
      <c r="R2" s="2"/>
      <c r="S2" s="2"/>
      <c r="T2" s="2"/>
      <c r="U2" s="2"/>
      <c r="V2" s="3"/>
    </row>
    <row r="3" ht="18.0" customHeight="1">
      <c r="A3" s="5" t="s">
        <v>67</v>
      </c>
      <c r="B3" s="5" t="s">
        <v>68</v>
      </c>
      <c r="C3" s="5">
        <v>10000.0</v>
      </c>
      <c r="D3" s="5" t="s">
        <v>70</v>
      </c>
      <c r="E3" s="5" t="s">
        <v>71</v>
      </c>
      <c r="F3" s="5" t="s">
        <v>72</v>
      </c>
      <c r="G3" s="5" t="s">
        <v>74</v>
      </c>
      <c r="H3" s="5" t="s">
        <v>70</v>
      </c>
      <c r="I3" s="5" t="s">
        <v>76</v>
      </c>
      <c r="J3" s="5" t="s">
        <v>77</v>
      </c>
      <c r="K3" s="7">
        <v>44962.0</v>
      </c>
      <c r="L3" s="9" t="s">
        <v>78</v>
      </c>
      <c r="M3" s="9" t="s">
        <v>60</v>
      </c>
      <c r="N3" s="9" t="s">
        <v>62</v>
      </c>
      <c r="O3" s="2"/>
      <c r="P3" s="2"/>
      <c r="Q3" s="2"/>
      <c r="R3" s="2"/>
      <c r="S3" s="2"/>
      <c r="T3" s="2"/>
      <c r="U3" s="2"/>
      <c r="V3" s="3"/>
    </row>
    <row r="4" ht="18.0" customHeight="1">
      <c r="A4" s="5" t="s">
        <v>82</v>
      </c>
      <c r="B4" s="5" t="s">
        <v>83</v>
      </c>
      <c r="C4" s="5">
        <v>56000.0</v>
      </c>
      <c r="D4" s="5" t="s">
        <v>84</v>
      </c>
      <c r="E4" s="5" t="s">
        <v>86</v>
      </c>
      <c r="F4" s="5" t="s">
        <v>87</v>
      </c>
      <c r="G4" s="5" t="s">
        <v>46</v>
      </c>
      <c r="H4" s="5" t="s">
        <v>84</v>
      </c>
      <c r="I4" s="5" t="s">
        <v>89</v>
      </c>
      <c r="J4" s="5" t="s">
        <v>90</v>
      </c>
      <c r="K4" s="7">
        <v>45643.0</v>
      </c>
      <c r="L4" s="9" t="s">
        <v>91</v>
      </c>
      <c r="M4" s="9" t="s">
        <v>60</v>
      </c>
      <c r="N4" s="9" t="s">
        <v>92</v>
      </c>
      <c r="O4" s="2"/>
      <c r="P4" s="2"/>
      <c r="Q4" s="2"/>
      <c r="R4" s="2"/>
      <c r="S4" s="2"/>
      <c r="T4" s="2"/>
      <c r="U4" s="2"/>
      <c r="V4" s="3"/>
    </row>
    <row r="5" ht="18.0" customHeight="1">
      <c r="A5" s="5" t="s">
        <v>93</v>
      </c>
      <c r="B5" s="5" t="s">
        <v>94</v>
      </c>
      <c r="C5" s="5">
        <v>25000.0</v>
      </c>
      <c r="D5" s="5" t="s">
        <v>96</v>
      </c>
      <c r="E5" s="5" t="s">
        <v>97</v>
      </c>
      <c r="F5" s="5" t="s">
        <v>99</v>
      </c>
      <c r="G5" s="5" t="s">
        <v>74</v>
      </c>
      <c r="H5" s="5" t="s">
        <v>96</v>
      </c>
      <c r="I5" s="5" t="s">
        <v>101</v>
      </c>
      <c r="J5" s="5" t="s">
        <v>103</v>
      </c>
      <c r="K5" s="7">
        <v>45172.0</v>
      </c>
      <c r="L5" s="9" t="s">
        <v>104</v>
      </c>
      <c r="M5" s="9" t="s">
        <v>60</v>
      </c>
      <c r="N5" s="9" t="s">
        <v>105</v>
      </c>
      <c r="O5" s="2"/>
      <c r="P5" s="2"/>
      <c r="Q5" s="2"/>
      <c r="R5" s="2"/>
      <c r="S5" s="2"/>
      <c r="T5" s="2"/>
      <c r="U5" s="2"/>
      <c r="V5" s="3"/>
    </row>
    <row r="6" ht="18.0" customHeight="1">
      <c r="A6" s="5" t="s">
        <v>106</v>
      </c>
      <c r="B6" s="5" t="s">
        <v>107</v>
      </c>
      <c r="C6" s="5">
        <v>25000.0</v>
      </c>
      <c r="D6" s="5" t="s">
        <v>96</v>
      </c>
      <c r="E6" s="5" t="s">
        <v>97</v>
      </c>
      <c r="F6" s="5" t="s">
        <v>108</v>
      </c>
      <c r="G6" s="5" t="s">
        <v>74</v>
      </c>
      <c r="H6" s="5" t="s">
        <v>96</v>
      </c>
      <c r="I6" s="5" t="s">
        <v>109</v>
      </c>
      <c r="J6" s="5" t="s">
        <v>110</v>
      </c>
      <c r="K6" s="7">
        <v>45040.0</v>
      </c>
      <c r="L6" s="9" t="s">
        <v>111</v>
      </c>
      <c r="M6" s="9" t="s">
        <v>60</v>
      </c>
      <c r="N6" s="9" t="s">
        <v>105</v>
      </c>
      <c r="O6" s="2"/>
      <c r="P6" s="2"/>
      <c r="Q6" s="2"/>
      <c r="R6" s="2"/>
      <c r="S6" s="2"/>
      <c r="T6" s="2"/>
      <c r="U6" s="2"/>
      <c r="V6" s="3"/>
    </row>
    <row r="7" ht="18.0" customHeight="1">
      <c r="A7" s="5" t="s">
        <v>113</v>
      </c>
      <c r="B7" s="5" t="s">
        <v>114</v>
      </c>
      <c r="C7" s="5">
        <v>25000.0</v>
      </c>
      <c r="D7" s="5" t="s">
        <v>96</v>
      </c>
      <c r="E7" s="5" t="s">
        <v>97</v>
      </c>
      <c r="F7" s="5" t="s">
        <v>115</v>
      </c>
      <c r="G7" s="5" t="s">
        <v>74</v>
      </c>
      <c r="H7" s="5" t="s">
        <v>96</v>
      </c>
      <c r="I7" s="5" t="s">
        <v>117</v>
      </c>
      <c r="J7" s="5" t="s">
        <v>118</v>
      </c>
      <c r="K7" s="7">
        <v>45293.0</v>
      </c>
      <c r="L7" s="9" t="s">
        <v>119</v>
      </c>
      <c r="M7" s="9" t="s">
        <v>60</v>
      </c>
      <c r="N7" s="9" t="s">
        <v>62</v>
      </c>
      <c r="O7" s="2"/>
      <c r="P7" s="2"/>
      <c r="Q7" s="2"/>
      <c r="R7" s="2"/>
      <c r="S7" s="2"/>
      <c r="T7" s="2"/>
      <c r="U7" s="2"/>
      <c r="V7" s="3"/>
    </row>
    <row r="8" ht="18.0" customHeight="1">
      <c r="A8" s="5" t="s">
        <v>120</v>
      </c>
      <c r="B8" s="5" t="s">
        <v>121</v>
      </c>
      <c r="C8" s="5">
        <v>18000.0</v>
      </c>
      <c r="D8" s="5" t="s">
        <v>123</v>
      </c>
      <c r="E8" s="5" t="s">
        <v>124</v>
      </c>
      <c r="F8" s="5" t="s">
        <v>125</v>
      </c>
      <c r="G8" s="5" t="s">
        <v>74</v>
      </c>
      <c r="H8" s="5" t="s">
        <v>123</v>
      </c>
      <c r="I8" s="5" t="s">
        <v>126</v>
      </c>
      <c r="J8" s="5" t="s">
        <v>127</v>
      </c>
      <c r="K8" s="7">
        <v>45566.0</v>
      </c>
      <c r="L8" s="9" t="s">
        <v>128</v>
      </c>
      <c r="M8" s="9" t="s">
        <v>60</v>
      </c>
      <c r="N8" s="9" t="s">
        <v>105</v>
      </c>
      <c r="O8" s="2"/>
      <c r="P8" s="2"/>
      <c r="Q8" s="2"/>
      <c r="R8" s="2"/>
      <c r="S8" s="2"/>
      <c r="T8" s="2"/>
      <c r="U8" s="2"/>
      <c r="V8" s="3"/>
    </row>
    <row r="9" ht="18.0" customHeight="1">
      <c r="A9" s="5" t="s">
        <v>130</v>
      </c>
      <c r="B9" s="5" t="s">
        <v>131</v>
      </c>
      <c r="C9" s="5">
        <v>65000.0</v>
      </c>
      <c r="D9" s="5" t="s">
        <v>132</v>
      </c>
      <c r="E9" s="5" t="s">
        <v>133</v>
      </c>
      <c r="F9" s="5" t="s">
        <v>134</v>
      </c>
      <c r="G9" s="5" t="s">
        <v>46</v>
      </c>
      <c r="H9" s="5" t="s">
        <v>132</v>
      </c>
      <c r="I9" s="5" t="s">
        <v>135</v>
      </c>
      <c r="J9" s="5" t="s">
        <v>137</v>
      </c>
      <c r="K9" s="7">
        <v>45263.0</v>
      </c>
      <c r="L9" s="9" t="s">
        <v>138</v>
      </c>
      <c r="M9" s="9" t="s">
        <v>60</v>
      </c>
      <c r="N9" s="9" t="s">
        <v>62</v>
      </c>
      <c r="O9" s="2"/>
      <c r="P9" s="2"/>
      <c r="Q9" s="2"/>
      <c r="R9" s="2"/>
      <c r="S9" s="2"/>
      <c r="T9" s="2"/>
      <c r="U9" s="2"/>
      <c r="V9" s="3"/>
    </row>
    <row r="10" ht="18.0" customHeight="1">
      <c r="A10" s="5" t="s">
        <v>140</v>
      </c>
      <c r="B10" s="5" t="s">
        <v>141</v>
      </c>
      <c r="C10" s="5">
        <v>16000.0</v>
      </c>
      <c r="D10" s="5" t="s">
        <v>142</v>
      </c>
      <c r="E10" s="5" t="s">
        <v>143</v>
      </c>
      <c r="F10" s="5" t="s">
        <v>144</v>
      </c>
      <c r="G10" s="5" t="s">
        <v>74</v>
      </c>
      <c r="H10" s="5" t="s">
        <v>142</v>
      </c>
      <c r="I10" s="5" t="s">
        <v>145</v>
      </c>
      <c r="J10" s="5" t="s">
        <v>146</v>
      </c>
      <c r="K10" s="7">
        <v>45075.0</v>
      </c>
      <c r="L10" s="9" t="s">
        <v>59</v>
      </c>
      <c r="M10" s="9" t="s">
        <v>60</v>
      </c>
      <c r="N10" s="9" t="s">
        <v>62</v>
      </c>
      <c r="O10" s="2"/>
      <c r="P10" s="2"/>
      <c r="Q10" s="2"/>
      <c r="R10" s="2"/>
      <c r="S10" s="2"/>
      <c r="T10" s="2"/>
      <c r="U10" s="2"/>
      <c r="V10" s="3"/>
    </row>
    <row r="11" ht="18.0" customHeight="1">
      <c r="A11" s="5" t="s">
        <v>149</v>
      </c>
      <c r="B11" s="5" t="s">
        <v>150</v>
      </c>
      <c r="C11" s="5">
        <v>78000.0</v>
      </c>
      <c r="D11" s="5" t="s">
        <v>151</v>
      </c>
      <c r="E11" s="5" t="s">
        <v>152</v>
      </c>
      <c r="F11" s="5" t="s">
        <v>153</v>
      </c>
      <c r="G11" s="5" t="s">
        <v>154</v>
      </c>
      <c r="H11" s="5" t="s">
        <v>151</v>
      </c>
      <c r="I11" s="5" t="s">
        <v>158</v>
      </c>
      <c r="J11" s="5" t="s">
        <v>159</v>
      </c>
      <c r="K11" s="7">
        <v>45177.0</v>
      </c>
      <c r="L11" s="9" t="s">
        <v>78</v>
      </c>
      <c r="M11" s="9" t="s">
        <v>60</v>
      </c>
      <c r="N11" s="9" t="s">
        <v>105</v>
      </c>
      <c r="O11" s="2"/>
      <c r="P11" s="2"/>
      <c r="Q11" s="2"/>
      <c r="R11" s="2"/>
      <c r="S11" s="2"/>
      <c r="T11" s="2"/>
      <c r="U11" s="2"/>
      <c r="V11" s="3"/>
    </row>
    <row r="12" ht="18.0" customHeight="1">
      <c r="A12" s="5" t="s">
        <v>161</v>
      </c>
      <c r="B12" s="5" t="s">
        <v>162</v>
      </c>
      <c r="C12" s="5">
        <v>18000.0</v>
      </c>
      <c r="D12" s="5" t="s">
        <v>123</v>
      </c>
      <c r="E12" s="5" t="s">
        <v>124</v>
      </c>
      <c r="F12" s="5" t="s">
        <v>164</v>
      </c>
      <c r="G12" s="5" t="s">
        <v>74</v>
      </c>
      <c r="H12" s="5" t="s">
        <v>123</v>
      </c>
      <c r="I12" s="5" t="s">
        <v>165</v>
      </c>
      <c r="J12" s="5" t="s">
        <v>166</v>
      </c>
      <c r="K12" s="7">
        <v>45428.0</v>
      </c>
      <c r="L12" s="9" t="s">
        <v>91</v>
      </c>
      <c r="M12" s="9" t="s">
        <v>60</v>
      </c>
      <c r="N12" s="9" t="s">
        <v>167</v>
      </c>
      <c r="O12" s="2"/>
      <c r="P12" s="2"/>
      <c r="Q12" s="2"/>
      <c r="R12" s="2"/>
      <c r="S12" s="2"/>
      <c r="T12" s="2"/>
      <c r="U12" s="2"/>
      <c r="V12" s="3"/>
    </row>
    <row r="13" ht="18.0" customHeight="1">
      <c r="A13" s="5" t="s">
        <v>169</v>
      </c>
      <c r="B13" s="5" t="s">
        <v>170</v>
      </c>
      <c r="C13" s="5">
        <v>20000.0</v>
      </c>
      <c r="D13" s="5" t="s">
        <v>171</v>
      </c>
      <c r="E13" s="5" t="s">
        <v>172</v>
      </c>
      <c r="F13" s="5" t="s">
        <v>173</v>
      </c>
      <c r="G13" s="5" t="s">
        <v>74</v>
      </c>
      <c r="H13" s="5" t="s">
        <v>171</v>
      </c>
      <c r="I13" s="5" t="s">
        <v>174</v>
      </c>
      <c r="J13" s="5" t="s">
        <v>176</v>
      </c>
      <c r="K13" s="7">
        <v>44992.0</v>
      </c>
      <c r="L13" s="9" t="s">
        <v>104</v>
      </c>
      <c r="M13" s="9" t="s">
        <v>60</v>
      </c>
      <c r="N13" s="9" t="s">
        <v>62</v>
      </c>
      <c r="O13" s="2"/>
      <c r="P13" s="2"/>
      <c r="Q13" s="2"/>
      <c r="R13" s="2"/>
      <c r="S13" s="2"/>
      <c r="T13" s="2"/>
      <c r="U13" s="2"/>
      <c r="V13" s="3"/>
    </row>
    <row r="14" ht="18.0" customHeight="1">
      <c r="A14" s="5" t="s">
        <v>181</v>
      </c>
      <c r="B14" s="5" t="s">
        <v>182</v>
      </c>
      <c r="C14" s="5">
        <v>55000.0</v>
      </c>
      <c r="D14" s="5" t="s">
        <v>39</v>
      </c>
      <c r="E14" s="5" t="s">
        <v>41</v>
      </c>
      <c r="F14" s="5" t="s">
        <v>183</v>
      </c>
      <c r="G14" s="5" t="s">
        <v>46</v>
      </c>
      <c r="H14" s="5" t="s">
        <v>39</v>
      </c>
      <c r="I14" s="5" t="s">
        <v>185</v>
      </c>
      <c r="J14" s="5" t="s">
        <v>186</v>
      </c>
      <c r="K14" s="7">
        <v>45249.0</v>
      </c>
      <c r="L14" s="9" t="s">
        <v>111</v>
      </c>
      <c r="M14" s="9" t="s">
        <v>60</v>
      </c>
      <c r="N14" s="9" t="s">
        <v>62</v>
      </c>
      <c r="O14" s="2"/>
      <c r="P14" s="2"/>
      <c r="Q14" s="2"/>
      <c r="R14" s="2"/>
      <c r="S14" s="2"/>
      <c r="T14" s="2"/>
      <c r="U14" s="2"/>
      <c r="V14" s="3"/>
    </row>
    <row r="15" ht="18.0" customHeight="1">
      <c r="A15" s="5" t="s">
        <v>188</v>
      </c>
      <c r="B15" s="5" t="s">
        <v>190</v>
      </c>
      <c r="C15" s="5">
        <v>53000.0</v>
      </c>
      <c r="D15" s="5" t="s">
        <v>192</v>
      </c>
      <c r="E15" s="5" t="s">
        <v>194</v>
      </c>
      <c r="F15" s="5" t="s">
        <v>195</v>
      </c>
      <c r="G15" s="5" t="s">
        <v>46</v>
      </c>
      <c r="H15" s="5" t="s">
        <v>192</v>
      </c>
      <c r="I15" s="5" t="s">
        <v>196</v>
      </c>
      <c r="J15" s="5" t="s">
        <v>197</v>
      </c>
      <c r="K15" s="7">
        <v>45228.0</v>
      </c>
      <c r="L15" s="9" t="s">
        <v>119</v>
      </c>
      <c r="M15" s="9" t="s">
        <v>60</v>
      </c>
      <c r="N15" s="9" t="s">
        <v>92</v>
      </c>
      <c r="O15" s="2"/>
      <c r="P15" s="2"/>
      <c r="Q15" s="2"/>
      <c r="R15" s="2"/>
      <c r="S15" s="2"/>
      <c r="T15" s="2"/>
      <c r="U15" s="2"/>
      <c r="V15" s="3"/>
    </row>
    <row r="16" ht="18.0" customHeight="1">
      <c r="A16" s="5" t="s">
        <v>200</v>
      </c>
      <c r="B16" s="5" t="s">
        <v>201</v>
      </c>
      <c r="C16" s="5">
        <v>82000.0</v>
      </c>
      <c r="D16" s="5" t="s">
        <v>202</v>
      </c>
      <c r="E16" s="5" t="s">
        <v>203</v>
      </c>
      <c r="F16" s="5" t="s">
        <v>204</v>
      </c>
      <c r="G16" s="5" t="s">
        <v>154</v>
      </c>
      <c r="H16" s="5" t="s">
        <v>202</v>
      </c>
      <c r="I16" s="5" t="s">
        <v>207</v>
      </c>
      <c r="J16" s="5" t="s">
        <v>209</v>
      </c>
      <c r="K16" s="7">
        <v>45303.0</v>
      </c>
      <c r="L16" s="9" t="s">
        <v>128</v>
      </c>
      <c r="M16" s="9" t="s">
        <v>60</v>
      </c>
      <c r="N16" s="9" t="s">
        <v>105</v>
      </c>
      <c r="O16" s="2"/>
      <c r="P16" s="2"/>
      <c r="Q16" s="2"/>
      <c r="R16" s="2"/>
      <c r="S16" s="2"/>
      <c r="T16" s="2"/>
      <c r="U16" s="2"/>
      <c r="V16" s="3"/>
    </row>
    <row r="17" ht="18.0" customHeight="1">
      <c r="A17" s="5" t="s">
        <v>212</v>
      </c>
      <c r="B17" s="5" t="s">
        <v>213</v>
      </c>
      <c r="C17" s="5">
        <v>90000.0</v>
      </c>
      <c r="D17" s="5" t="s">
        <v>215</v>
      </c>
      <c r="E17" s="5" t="s">
        <v>216</v>
      </c>
      <c r="F17" s="5" t="s">
        <v>217</v>
      </c>
      <c r="G17" s="5" t="s">
        <v>154</v>
      </c>
      <c r="H17" s="5" t="s">
        <v>215</v>
      </c>
      <c r="I17" s="5" t="s">
        <v>218</v>
      </c>
      <c r="J17" s="5" t="s">
        <v>219</v>
      </c>
      <c r="K17" s="7">
        <v>44927.0</v>
      </c>
      <c r="L17" s="9" t="s">
        <v>138</v>
      </c>
      <c r="M17" s="9" t="s">
        <v>60</v>
      </c>
      <c r="N17" s="9" t="s">
        <v>92</v>
      </c>
      <c r="O17" s="2"/>
      <c r="P17" s="2"/>
      <c r="Q17" s="2"/>
      <c r="R17" s="2"/>
      <c r="S17" s="2"/>
      <c r="T17" s="2"/>
      <c r="U17" s="2"/>
      <c r="V17" s="3"/>
    </row>
    <row r="18" ht="18.0" customHeight="1">
      <c r="A18" s="5" t="s">
        <v>220</v>
      </c>
      <c r="B18" s="5" t="s">
        <v>221</v>
      </c>
      <c r="C18" s="5">
        <v>78000.0</v>
      </c>
      <c r="D18" s="5" t="s">
        <v>151</v>
      </c>
      <c r="E18" s="5" t="s">
        <v>152</v>
      </c>
      <c r="F18" s="5" t="s">
        <v>223</v>
      </c>
      <c r="G18" s="5" t="s">
        <v>154</v>
      </c>
      <c r="H18" s="5" t="s">
        <v>151</v>
      </c>
      <c r="I18" s="5" t="s">
        <v>224</v>
      </c>
      <c r="J18" s="5" t="s">
        <v>225</v>
      </c>
      <c r="K18" s="7">
        <v>44975.0</v>
      </c>
      <c r="L18" s="9" t="s">
        <v>59</v>
      </c>
      <c r="M18" s="9" t="s">
        <v>60</v>
      </c>
      <c r="N18" s="9" t="s">
        <v>105</v>
      </c>
      <c r="O18" s="2"/>
      <c r="P18" s="2"/>
      <c r="Q18" s="2"/>
      <c r="R18" s="2"/>
      <c r="S18" s="2"/>
      <c r="T18" s="2"/>
      <c r="U18" s="2"/>
      <c r="V18" s="3"/>
    </row>
    <row r="19" ht="18.0" customHeight="1">
      <c r="A19" s="5" t="s">
        <v>228</v>
      </c>
      <c r="B19" s="5" t="s">
        <v>229</v>
      </c>
      <c r="C19" s="5">
        <v>82000.0</v>
      </c>
      <c r="D19" s="5" t="s">
        <v>202</v>
      </c>
      <c r="E19" s="5" t="s">
        <v>203</v>
      </c>
      <c r="F19" s="5" t="s">
        <v>231</v>
      </c>
      <c r="G19" s="5" t="s">
        <v>154</v>
      </c>
      <c r="H19" s="5" t="s">
        <v>202</v>
      </c>
      <c r="I19" s="5" t="s">
        <v>232</v>
      </c>
      <c r="J19" s="5" t="s">
        <v>233</v>
      </c>
      <c r="K19" s="7">
        <v>45061.0</v>
      </c>
      <c r="L19" s="9" t="s">
        <v>78</v>
      </c>
      <c r="M19" s="9" t="s">
        <v>60</v>
      </c>
      <c r="N19" s="9" t="s">
        <v>105</v>
      </c>
      <c r="O19" s="2"/>
      <c r="P19" s="2"/>
      <c r="Q19" s="2"/>
      <c r="R19" s="2"/>
      <c r="S19" s="2"/>
      <c r="T19" s="2"/>
      <c r="U19" s="2"/>
      <c r="V19" s="3"/>
    </row>
    <row r="20" ht="18.0" customHeight="1">
      <c r="A20" s="5" t="s">
        <v>235</v>
      </c>
      <c r="B20" s="5" t="s">
        <v>236</v>
      </c>
      <c r="C20" s="5">
        <v>53000.0</v>
      </c>
      <c r="D20" s="5" t="s">
        <v>192</v>
      </c>
      <c r="E20" s="5" t="s">
        <v>194</v>
      </c>
      <c r="F20" s="5" t="s">
        <v>238</v>
      </c>
      <c r="G20" s="5" t="s">
        <v>46</v>
      </c>
      <c r="H20" s="5" t="s">
        <v>192</v>
      </c>
      <c r="I20" s="5" t="s">
        <v>239</v>
      </c>
      <c r="J20" s="5" t="s">
        <v>240</v>
      </c>
      <c r="K20" s="7">
        <v>45041.0</v>
      </c>
      <c r="L20" s="9" t="s">
        <v>91</v>
      </c>
      <c r="M20" s="9" t="s">
        <v>60</v>
      </c>
      <c r="N20" s="9" t="s">
        <v>105</v>
      </c>
      <c r="O20" s="2"/>
      <c r="P20" s="2"/>
      <c r="Q20" s="2"/>
      <c r="R20" s="2"/>
      <c r="S20" s="2"/>
      <c r="T20" s="2"/>
      <c r="U20" s="2"/>
      <c r="V20" s="3"/>
    </row>
    <row r="21" ht="18.0" customHeight="1">
      <c r="A21" s="5" t="s">
        <v>245</v>
      </c>
      <c r="B21" s="5" t="s">
        <v>246</v>
      </c>
      <c r="C21" s="5">
        <v>78000.0</v>
      </c>
      <c r="D21" s="5" t="s">
        <v>151</v>
      </c>
      <c r="E21" s="5" t="s">
        <v>152</v>
      </c>
      <c r="F21" s="5" t="s">
        <v>249</v>
      </c>
      <c r="G21" s="5" t="s">
        <v>154</v>
      </c>
      <c r="H21" s="5" t="s">
        <v>151</v>
      </c>
      <c r="I21" s="5" t="s">
        <v>252</v>
      </c>
      <c r="J21" s="5" t="s">
        <v>253</v>
      </c>
      <c r="K21" s="7">
        <v>45248.0</v>
      </c>
      <c r="L21" s="9" t="s">
        <v>104</v>
      </c>
      <c r="M21" s="9" t="s">
        <v>60</v>
      </c>
      <c r="N21" s="9" t="s">
        <v>92</v>
      </c>
      <c r="O21" s="2"/>
      <c r="P21" s="2"/>
      <c r="Q21" s="2"/>
      <c r="R21" s="2"/>
      <c r="S21" s="2"/>
      <c r="T21" s="2"/>
      <c r="U21" s="2"/>
      <c r="V21" s="3"/>
    </row>
    <row r="22" ht="18.0" customHeight="1">
      <c r="A22" s="5" t="s">
        <v>255</v>
      </c>
      <c r="B22" s="5" t="s">
        <v>256</v>
      </c>
      <c r="C22" s="5">
        <v>90000.0</v>
      </c>
      <c r="D22" s="5" t="s">
        <v>215</v>
      </c>
      <c r="E22" s="5" t="s">
        <v>216</v>
      </c>
      <c r="F22" s="5" t="s">
        <v>259</v>
      </c>
      <c r="G22" s="5" t="s">
        <v>154</v>
      </c>
      <c r="H22" s="5" t="s">
        <v>215</v>
      </c>
      <c r="I22" s="5" t="s">
        <v>261</v>
      </c>
      <c r="J22" s="5" t="s">
        <v>262</v>
      </c>
      <c r="K22" s="7">
        <v>45085.0</v>
      </c>
      <c r="L22" s="9" t="s">
        <v>111</v>
      </c>
      <c r="M22" s="9" t="s">
        <v>60</v>
      </c>
      <c r="N22" s="9" t="s">
        <v>105</v>
      </c>
      <c r="O22" s="2"/>
      <c r="P22" s="2"/>
      <c r="Q22" s="2"/>
      <c r="R22" s="2"/>
      <c r="S22" s="2"/>
      <c r="T22" s="2"/>
      <c r="U22" s="2"/>
      <c r="V22" s="3"/>
    </row>
    <row r="23" ht="18.0" customHeight="1">
      <c r="A23" s="5" t="s">
        <v>265</v>
      </c>
      <c r="B23" s="5" t="s">
        <v>267</v>
      </c>
      <c r="C23" s="5">
        <v>76000.0</v>
      </c>
      <c r="D23" s="5" t="s">
        <v>268</v>
      </c>
      <c r="E23" s="5" t="s">
        <v>269</v>
      </c>
      <c r="F23" s="5" t="s">
        <v>270</v>
      </c>
      <c r="G23" s="5" t="s">
        <v>154</v>
      </c>
      <c r="H23" s="5" t="s">
        <v>268</v>
      </c>
      <c r="I23" s="5" t="s">
        <v>273</v>
      </c>
      <c r="J23" s="5" t="s">
        <v>274</v>
      </c>
      <c r="K23" s="7">
        <v>45252.0</v>
      </c>
      <c r="L23" s="9" t="s">
        <v>119</v>
      </c>
      <c r="M23" s="9" t="s">
        <v>60</v>
      </c>
      <c r="N23" s="9" t="s">
        <v>62</v>
      </c>
      <c r="O23" s="2"/>
      <c r="P23" s="2"/>
      <c r="Q23" s="2"/>
      <c r="R23" s="2"/>
      <c r="S23" s="2"/>
      <c r="T23" s="2"/>
      <c r="U23" s="2"/>
      <c r="V23" s="3"/>
    </row>
    <row r="24" ht="18.0" customHeight="1">
      <c r="A24" s="5" t="s">
        <v>276</v>
      </c>
      <c r="B24" s="5" t="s">
        <v>277</v>
      </c>
      <c r="C24" s="5">
        <v>82000.0</v>
      </c>
      <c r="D24" s="5" t="s">
        <v>202</v>
      </c>
      <c r="E24" s="5" t="s">
        <v>203</v>
      </c>
      <c r="F24" s="5" t="s">
        <v>278</v>
      </c>
      <c r="G24" s="5" t="s">
        <v>154</v>
      </c>
      <c r="H24" s="5" t="s">
        <v>202</v>
      </c>
      <c r="I24" s="5" t="s">
        <v>279</v>
      </c>
      <c r="J24" s="5" t="s">
        <v>280</v>
      </c>
      <c r="K24" s="7">
        <v>45271.0</v>
      </c>
      <c r="L24" s="9" t="s">
        <v>128</v>
      </c>
      <c r="M24" s="9" t="s">
        <v>60</v>
      </c>
      <c r="N24" s="9" t="s">
        <v>62</v>
      </c>
      <c r="O24" s="2"/>
      <c r="P24" s="2"/>
      <c r="Q24" s="2"/>
      <c r="R24" s="2"/>
      <c r="S24" s="2"/>
      <c r="T24" s="2"/>
      <c r="U24" s="2"/>
      <c r="V24" s="3"/>
    </row>
    <row r="25" ht="18.0" customHeight="1">
      <c r="A25" s="5" t="s">
        <v>284</v>
      </c>
      <c r="B25" s="5" t="s">
        <v>285</v>
      </c>
      <c r="C25" s="5">
        <v>17000.0</v>
      </c>
      <c r="D25" s="5" t="s">
        <v>287</v>
      </c>
      <c r="E25" s="5" t="s">
        <v>288</v>
      </c>
      <c r="F25" s="5" t="s">
        <v>289</v>
      </c>
      <c r="G25" s="5" t="s">
        <v>74</v>
      </c>
      <c r="H25" s="5" t="s">
        <v>287</v>
      </c>
      <c r="I25" s="5" t="s">
        <v>291</v>
      </c>
      <c r="J25" s="5" t="s">
        <v>293</v>
      </c>
      <c r="K25" s="7">
        <v>45348.0</v>
      </c>
      <c r="L25" s="9" t="s">
        <v>138</v>
      </c>
      <c r="M25" s="9" t="s">
        <v>60</v>
      </c>
      <c r="N25" s="9" t="s">
        <v>105</v>
      </c>
      <c r="O25" s="2"/>
      <c r="P25" s="2"/>
      <c r="Q25" s="2"/>
      <c r="R25" s="2"/>
      <c r="S25" s="2"/>
      <c r="T25" s="2"/>
      <c r="U25" s="2"/>
      <c r="V25" s="3"/>
    </row>
    <row r="26" ht="18.0" customHeight="1">
      <c r="A26" s="5" t="s">
        <v>294</v>
      </c>
      <c r="B26" s="5" t="s">
        <v>295</v>
      </c>
      <c r="C26" s="5">
        <v>10000.0</v>
      </c>
      <c r="D26" s="5" t="s">
        <v>70</v>
      </c>
      <c r="E26" s="5" t="s">
        <v>71</v>
      </c>
      <c r="F26" s="5" t="s">
        <v>298</v>
      </c>
      <c r="G26" s="5" t="s">
        <v>74</v>
      </c>
      <c r="H26" s="5" t="s">
        <v>70</v>
      </c>
      <c r="I26" s="5" t="s">
        <v>299</v>
      </c>
      <c r="J26" s="5" t="s">
        <v>300</v>
      </c>
      <c r="K26" s="7">
        <v>45564.0</v>
      </c>
      <c r="L26" s="9" t="s">
        <v>59</v>
      </c>
      <c r="M26" s="9" t="s">
        <v>60</v>
      </c>
      <c r="N26" s="9" t="s">
        <v>167</v>
      </c>
      <c r="O26" s="2"/>
      <c r="P26" s="2"/>
      <c r="Q26" s="2"/>
      <c r="R26" s="2"/>
      <c r="S26" s="2"/>
      <c r="T26" s="2"/>
      <c r="U26" s="2"/>
      <c r="V26" s="3"/>
    </row>
    <row r="27" ht="18.0" customHeight="1">
      <c r="A27" s="5" t="s">
        <v>303</v>
      </c>
      <c r="B27" s="5" t="s">
        <v>305</v>
      </c>
      <c r="C27" s="5">
        <v>59000.0</v>
      </c>
      <c r="D27" s="5" t="s">
        <v>306</v>
      </c>
      <c r="E27" s="5" t="s">
        <v>307</v>
      </c>
      <c r="F27" s="5" t="s">
        <v>308</v>
      </c>
      <c r="G27" s="5" t="s">
        <v>46</v>
      </c>
      <c r="H27" s="5" t="s">
        <v>306</v>
      </c>
      <c r="I27" s="5" t="s">
        <v>310</v>
      </c>
      <c r="J27" s="5" t="s">
        <v>312</v>
      </c>
      <c r="K27" s="7">
        <v>44954.0</v>
      </c>
      <c r="L27" s="9" t="s">
        <v>78</v>
      </c>
      <c r="M27" s="9" t="s">
        <v>60</v>
      </c>
      <c r="N27" s="9" t="s">
        <v>62</v>
      </c>
      <c r="O27" s="2"/>
      <c r="P27" s="2"/>
      <c r="Q27" s="2"/>
      <c r="R27" s="2"/>
      <c r="S27" s="2"/>
      <c r="T27" s="2"/>
      <c r="U27" s="2"/>
      <c r="V27" s="3"/>
    </row>
    <row r="28" ht="18.0" customHeight="1">
      <c r="A28" s="5" t="s">
        <v>314</v>
      </c>
      <c r="B28" s="5" t="s">
        <v>315</v>
      </c>
      <c r="C28" s="5">
        <v>76000.0</v>
      </c>
      <c r="D28" s="5" t="s">
        <v>268</v>
      </c>
      <c r="E28" s="5" t="s">
        <v>269</v>
      </c>
      <c r="F28" s="5" t="s">
        <v>316</v>
      </c>
      <c r="G28" s="5" t="s">
        <v>154</v>
      </c>
      <c r="H28" s="5" t="s">
        <v>268</v>
      </c>
      <c r="I28" s="5" t="s">
        <v>317</v>
      </c>
      <c r="J28" s="5" t="s">
        <v>318</v>
      </c>
      <c r="K28" s="7">
        <v>45174.0</v>
      </c>
      <c r="L28" s="9" t="s">
        <v>91</v>
      </c>
      <c r="M28" s="9" t="s">
        <v>60</v>
      </c>
      <c r="N28" s="9" t="s">
        <v>62</v>
      </c>
      <c r="O28" s="2"/>
      <c r="P28" s="2"/>
      <c r="Q28" s="2"/>
      <c r="R28" s="2"/>
      <c r="S28" s="2"/>
      <c r="T28" s="2"/>
      <c r="U28" s="2"/>
      <c r="V28" s="3"/>
    </row>
    <row r="29" ht="18.0" customHeight="1">
      <c r="A29" s="5" t="s">
        <v>322</v>
      </c>
      <c r="B29" s="5" t="s">
        <v>323</v>
      </c>
      <c r="C29" s="5">
        <v>25000.0</v>
      </c>
      <c r="D29" s="5" t="s">
        <v>96</v>
      </c>
      <c r="E29" s="5" t="s">
        <v>97</v>
      </c>
      <c r="F29" s="5" t="s">
        <v>324</v>
      </c>
      <c r="G29" s="5" t="s">
        <v>74</v>
      </c>
      <c r="H29" s="5" t="s">
        <v>96</v>
      </c>
      <c r="I29" s="5" t="s">
        <v>327</v>
      </c>
      <c r="J29" s="5" t="s">
        <v>328</v>
      </c>
      <c r="K29" s="7">
        <v>44949.0</v>
      </c>
      <c r="L29" s="9" t="s">
        <v>104</v>
      </c>
      <c r="M29" s="9" t="s">
        <v>60</v>
      </c>
      <c r="N29" s="9" t="s">
        <v>167</v>
      </c>
      <c r="O29" s="2"/>
      <c r="P29" s="2"/>
      <c r="Q29" s="2"/>
      <c r="R29" s="2"/>
      <c r="S29" s="2"/>
      <c r="T29" s="2"/>
      <c r="U29" s="2"/>
      <c r="V29" s="3"/>
    </row>
    <row r="30" ht="18.0" customHeight="1">
      <c r="A30" s="5" t="s">
        <v>329</v>
      </c>
      <c r="B30" s="5" t="s">
        <v>330</v>
      </c>
      <c r="C30" s="5">
        <v>90000.0</v>
      </c>
      <c r="D30" s="5" t="s">
        <v>215</v>
      </c>
      <c r="E30" s="5" t="s">
        <v>216</v>
      </c>
      <c r="F30" s="5" t="s">
        <v>332</v>
      </c>
      <c r="G30" s="5" t="s">
        <v>154</v>
      </c>
      <c r="H30" s="5" t="s">
        <v>215</v>
      </c>
      <c r="I30" s="5" t="s">
        <v>333</v>
      </c>
      <c r="J30" s="5" t="s">
        <v>334</v>
      </c>
      <c r="K30" s="7">
        <v>45175.0</v>
      </c>
      <c r="L30" s="9" t="s">
        <v>111</v>
      </c>
      <c r="M30" s="9" t="s">
        <v>60</v>
      </c>
      <c r="N30" s="9" t="s">
        <v>105</v>
      </c>
      <c r="O30" s="2"/>
      <c r="P30" s="2"/>
      <c r="Q30" s="2"/>
      <c r="R30" s="2"/>
      <c r="S30" s="2"/>
      <c r="T30" s="2"/>
      <c r="U30" s="2"/>
      <c r="V30" s="3"/>
    </row>
    <row r="31" ht="18.0" customHeight="1">
      <c r="A31" s="5" t="s">
        <v>338</v>
      </c>
      <c r="B31" s="5" t="s">
        <v>339</v>
      </c>
      <c r="C31" s="5">
        <v>17000.0</v>
      </c>
      <c r="D31" s="5" t="s">
        <v>287</v>
      </c>
      <c r="E31" s="5" t="s">
        <v>288</v>
      </c>
      <c r="F31" s="5" t="s">
        <v>341</v>
      </c>
      <c r="G31" s="5" t="s">
        <v>74</v>
      </c>
      <c r="H31" s="5" t="s">
        <v>287</v>
      </c>
      <c r="I31" s="5" t="s">
        <v>343</v>
      </c>
      <c r="J31" s="5" t="s">
        <v>345</v>
      </c>
      <c r="K31" s="7">
        <v>45406.0</v>
      </c>
      <c r="L31" s="9" t="s">
        <v>119</v>
      </c>
      <c r="M31" s="9" t="s">
        <v>60</v>
      </c>
      <c r="N31" s="9" t="s">
        <v>92</v>
      </c>
      <c r="O31" s="2"/>
      <c r="P31" s="2"/>
      <c r="Q31" s="2"/>
      <c r="R31" s="2"/>
      <c r="S31" s="2"/>
      <c r="T31" s="2"/>
      <c r="U31" s="2"/>
      <c r="V31" s="3"/>
    </row>
    <row r="32" ht="18.0" customHeight="1">
      <c r="A32" s="5" t="s">
        <v>348</v>
      </c>
      <c r="B32" s="5" t="s">
        <v>349</v>
      </c>
      <c r="C32" s="5">
        <v>82000.0</v>
      </c>
      <c r="D32" s="5" t="s">
        <v>202</v>
      </c>
      <c r="E32" s="5" t="s">
        <v>203</v>
      </c>
      <c r="F32" s="5" t="s">
        <v>351</v>
      </c>
      <c r="G32" s="5" t="s">
        <v>154</v>
      </c>
      <c r="H32" s="5" t="s">
        <v>202</v>
      </c>
      <c r="I32" s="5" t="s">
        <v>352</v>
      </c>
      <c r="J32" s="5" t="s">
        <v>354</v>
      </c>
      <c r="K32" s="7">
        <v>45037.0</v>
      </c>
      <c r="L32" s="9" t="s">
        <v>128</v>
      </c>
      <c r="M32" s="9" t="s">
        <v>60</v>
      </c>
      <c r="N32" s="9" t="s">
        <v>105</v>
      </c>
      <c r="O32" s="2"/>
      <c r="P32" s="2"/>
      <c r="Q32" s="2"/>
      <c r="R32" s="2"/>
      <c r="S32" s="2"/>
      <c r="T32" s="2"/>
      <c r="U32" s="2"/>
      <c r="V32" s="3"/>
    </row>
    <row r="33" ht="18.0" customHeight="1">
      <c r="A33" s="5" t="s">
        <v>357</v>
      </c>
      <c r="B33" s="5" t="s">
        <v>358</v>
      </c>
      <c r="C33" s="5">
        <v>78000.0</v>
      </c>
      <c r="D33" s="5" t="s">
        <v>151</v>
      </c>
      <c r="E33" s="5" t="s">
        <v>152</v>
      </c>
      <c r="F33" s="5" t="s">
        <v>359</v>
      </c>
      <c r="G33" s="5" t="s">
        <v>154</v>
      </c>
      <c r="H33" s="5" t="s">
        <v>151</v>
      </c>
      <c r="I33" s="5" t="s">
        <v>360</v>
      </c>
      <c r="J33" s="5" t="s">
        <v>361</v>
      </c>
      <c r="K33" s="7">
        <v>45254.0</v>
      </c>
      <c r="L33" s="9" t="s">
        <v>138</v>
      </c>
      <c r="M33" s="9" t="s">
        <v>60</v>
      </c>
      <c r="N33" s="9" t="s">
        <v>92</v>
      </c>
      <c r="O33" s="2"/>
      <c r="P33" s="2"/>
      <c r="Q33" s="2"/>
      <c r="R33" s="2"/>
      <c r="S33" s="2"/>
      <c r="T33" s="2"/>
      <c r="U33" s="2"/>
      <c r="V33" s="3"/>
    </row>
    <row r="34" ht="18.0" customHeight="1">
      <c r="A34" s="5" t="s">
        <v>363</v>
      </c>
      <c r="B34" s="5" t="s">
        <v>364</v>
      </c>
      <c r="C34" s="5">
        <v>16000.0</v>
      </c>
      <c r="D34" s="5" t="s">
        <v>142</v>
      </c>
      <c r="E34" s="5" t="s">
        <v>143</v>
      </c>
      <c r="F34" s="5" t="s">
        <v>365</v>
      </c>
      <c r="G34" s="5" t="s">
        <v>74</v>
      </c>
      <c r="H34" s="5" t="s">
        <v>142</v>
      </c>
      <c r="I34" s="5" t="s">
        <v>367</v>
      </c>
      <c r="J34" s="5" t="s">
        <v>368</v>
      </c>
      <c r="K34" s="7">
        <v>45130.0</v>
      </c>
      <c r="L34" s="9" t="s">
        <v>59</v>
      </c>
      <c r="M34" s="9" t="s">
        <v>60</v>
      </c>
      <c r="N34" s="9" t="s">
        <v>62</v>
      </c>
      <c r="O34" s="2"/>
      <c r="P34" s="2"/>
      <c r="Q34" s="2"/>
      <c r="R34" s="2"/>
      <c r="S34" s="2"/>
      <c r="T34" s="2"/>
      <c r="U34" s="2"/>
      <c r="V34" s="3"/>
    </row>
    <row r="35" ht="18.0" customHeight="1">
      <c r="A35" s="5" t="s">
        <v>371</v>
      </c>
      <c r="B35" s="5" t="s">
        <v>372</v>
      </c>
      <c r="C35" s="5">
        <v>18000.0</v>
      </c>
      <c r="D35" s="5" t="s">
        <v>123</v>
      </c>
      <c r="E35" s="5" t="s">
        <v>124</v>
      </c>
      <c r="F35" s="5" t="s">
        <v>373</v>
      </c>
      <c r="G35" s="5" t="s">
        <v>74</v>
      </c>
      <c r="H35" s="5" t="s">
        <v>123</v>
      </c>
      <c r="I35" s="5" t="s">
        <v>374</v>
      </c>
      <c r="J35" s="5" t="s">
        <v>375</v>
      </c>
      <c r="K35" s="7">
        <v>45454.0</v>
      </c>
      <c r="L35" s="9" t="s">
        <v>78</v>
      </c>
      <c r="M35" s="9" t="s">
        <v>60</v>
      </c>
      <c r="N35" s="9" t="s">
        <v>105</v>
      </c>
      <c r="O35" s="2"/>
      <c r="P35" s="2"/>
      <c r="Q35" s="2"/>
      <c r="R35" s="2"/>
      <c r="S35" s="2"/>
      <c r="T35" s="2"/>
      <c r="U35" s="2"/>
      <c r="V35" s="3"/>
    </row>
    <row r="36" ht="18.0" customHeight="1">
      <c r="A36" s="5" t="s">
        <v>377</v>
      </c>
      <c r="B36" s="5" t="s">
        <v>378</v>
      </c>
      <c r="C36" s="5">
        <v>75000.0</v>
      </c>
      <c r="D36" s="5" t="s">
        <v>379</v>
      </c>
      <c r="E36" s="5" t="s">
        <v>380</v>
      </c>
      <c r="F36" s="5" t="s">
        <v>381</v>
      </c>
      <c r="G36" s="5" t="s">
        <v>154</v>
      </c>
      <c r="H36" s="5" t="s">
        <v>379</v>
      </c>
      <c r="I36" s="5" t="s">
        <v>383</v>
      </c>
      <c r="J36" s="5" t="s">
        <v>384</v>
      </c>
      <c r="K36" s="7">
        <v>45580.0</v>
      </c>
      <c r="L36" s="9" t="s">
        <v>91</v>
      </c>
      <c r="M36" s="9" t="s">
        <v>60</v>
      </c>
      <c r="N36" s="9" t="s">
        <v>92</v>
      </c>
      <c r="O36" s="2"/>
      <c r="P36" s="2"/>
      <c r="Q36" s="2"/>
      <c r="R36" s="2"/>
      <c r="S36" s="2"/>
      <c r="T36" s="2"/>
      <c r="U36" s="2"/>
      <c r="V36" s="3"/>
    </row>
    <row r="37" ht="18.0" customHeight="1">
      <c r="A37" s="5" t="s">
        <v>386</v>
      </c>
      <c r="B37" s="5" t="s">
        <v>387</v>
      </c>
      <c r="C37" s="5">
        <v>56000.0</v>
      </c>
      <c r="D37" s="5" t="s">
        <v>84</v>
      </c>
      <c r="E37" s="5" t="s">
        <v>86</v>
      </c>
      <c r="F37" s="5" t="s">
        <v>388</v>
      </c>
      <c r="G37" s="5" t="s">
        <v>46</v>
      </c>
      <c r="H37" s="5" t="s">
        <v>84</v>
      </c>
      <c r="I37" s="5" t="s">
        <v>390</v>
      </c>
      <c r="J37" s="5" t="s">
        <v>391</v>
      </c>
      <c r="K37" s="7">
        <v>45042.0</v>
      </c>
      <c r="L37" s="9" t="s">
        <v>104</v>
      </c>
      <c r="M37" s="9" t="s">
        <v>60</v>
      </c>
      <c r="N37" s="9" t="s">
        <v>62</v>
      </c>
      <c r="O37" s="2"/>
      <c r="P37" s="2"/>
      <c r="Q37" s="2"/>
      <c r="R37" s="2"/>
      <c r="S37" s="2"/>
      <c r="T37" s="2"/>
      <c r="U37" s="2"/>
      <c r="V37" s="3"/>
    </row>
    <row r="38" ht="18.0" customHeight="1">
      <c r="A38" s="5" t="s">
        <v>395</v>
      </c>
      <c r="B38" s="5" t="s">
        <v>396</v>
      </c>
      <c r="C38" s="5">
        <v>55000.0</v>
      </c>
      <c r="D38" s="5" t="s">
        <v>39</v>
      </c>
      <c r="E38" s="5" t="s">
        <v>41</v>
      </c>
      <c r="F38" s="5" t="s">
        <v>398</v>
      </c>
      <c r="G38" s="5" t="s">
        <v>46</v>
      </c>
      <c r="H38" s="5" t="s">
        <v>39</v>
      </c>
      <c r="I38" s="5" t="s">
        <v>399</v>
      </c>
      <c r="J38" s="5" t="s">
        <v>400</v>
      </c>
      <c r="K38" s="7">
        <v>45152.0</v>
      </c>
      <c r="L38" s="9" t="s">
        <v>111</v>
      </c>
      <c r="M38" s="9" t="s">
        <v>60</v>
      </c>
      <c r="N38" s="9" t="s">
        <v>105</v>
      </c>
      <c r="O38" s="2"/>
      <c r="P38" s="2"/>
      <c r="Q38" s="2"/>
      <c r="R38" s="2"/>
      <c r="S38" s="2"/>
      <c r="T38" s="2"/>
      <c r="U38" s="2"/>
      <c r="V38" s="3"/>
    </row>
    <row r="39" ht="18.0" customHeight="1">
      <c r="A39" s="5" t="s">
        <v>403</v>
      </c>
      <c r="B39" s="5" t="s">
        <v>405</v>
      </c>
      <c r="C39" s="5">
        <v>25000.0</v>
      </c>
      <c r="D39" s="5" t="s">
        <v>96</v>
      </c>
      <c r="E39" s="5" t="s">
        <v>97</v>
      </c>
      <c r="F39" s="5" t="s">
        <v>407</v>
      </c>
      <c r="G39" s="5" t="s">
        <v>74</v>
      </c>
      <c r="H39" s="5" t="s">
        <v>96</v>
      </c>
      <c r="I39" s="5" t="s">
        <v>409</v>
      </c>
      <c r="J39" s="5" t="s">
        <v>410</v>
      </c>
      <c r="K39" s="7">
        <v>45145.0</v>
      </c>
      <c r="L39" s="9" t="s">
        <v>119</v>
      </c>
      <c r="M39" s="9" t="s">
        <v>60</v>
      </c>
      <c r="N39" s="9" t="s">
        <v>62</v>
      </c>
      <c r="O39" s="2"/>
      <c r="P39" s="2"/>
      <c r="Q39" s="2"/>
      <c r="R39" s="2"/>
      <c r="S39" s="2"/>
      <c r="T39" s="2"/>
      <c r="U39" s="2"/>
      <c r="V39" s="3"/>
    </row>
    <row r="40" ht="18.0" customHeight="1">
      <c r="A40" s="5" t="s">
        <v>411</v>
      </c>
      <c r="B40" s="5" t="s">
        <v>413</v>
      </c>
      <c r="C40" s="5">
        <v>70000.0</v>
      </c>
      <c r="D40" s="5" t="s">
        <v>260</v>
      </c>
      <c r="E40" s="5" t="s">
        <v>415</v>
      </c>
      <c r="F40" s="5" t="s">
        <v>416</v>
      </c>
      <c r="G40" s="5" t="s">
        <v>154</v>
      </c>
      <c r="H40" s="5" t="s">
        <v>260</v>
      </c>
      <c r="I40" s="5" t="s">
        <v>417</v>
      </c>
      <c r="J40" s="5" t="s">
        <v>418</v>
      </c>
      <c r="K40" s="7">
        <v>45491.0</v>
      </c>
      <c r="L40" s="9" t="s">
        <v>128</v>
      </c>
      <c r="M40" s="9" t="s">
        <v>60</v>
      </c>
      <c r="N40" s="9" t="s">
        <v>105</v>
      </c>
      <c r="O40" s="2"/>
      <c r="P40" s="2"/>
      <c r="Q40" s="2"/>
      <c r="R40" s="2"/>
      <c r="S40" s="2"/>
      <c r="T40" s="2"/>
      <c r="U40" s="2"/>
      <c r="V40" s="3"/>
    </row>
    <row r="41" ht="18.0" customHeight="1">
      <c r="A41" s="5" t="s">
        <v>421</v>
      </c>
      <c r="B41" s="5" t="s">
        <v>422</v>
      </c>
      <c r="C41" s="5">
        <v>55000.0</v>
      </c>
      <c r="D41" s="5" t="s">
        <v>39</v>
      </c>
      <c r="E41" s="5" t="s">
        <v>41</v>
      </c>
      <c r="F41" s="5" t="s">
        <v>423</v>
      </c>
      <c r="G41" s="5" t="s">
        <v>46</v>
      </c>
      <c r="H41" s="5" t="s">
        <v>39</v>
      </c>
      <c r="I41" s="5" t="s">
        <v>425</v>
      </c>
      <c r="J41" s="5" t="s">
        <v>426</v>
      </c>
      <c r="K41" s="7">
        <v>45561.0</v>
      </c>
      <c r="L41" s="9" t="s">
        <v>138</v>
      </c>
      <c r="M41" s="9" t="s">
        <v>60</v>
      </c>
      <c r="N41" s="9" t="s">
        <v>62</v>
      </c>
      <c r="O41" s="2"/>
      <c r="P41" s="2"/>
      <c r="Q41" s="2"/>
      <c r="R41" s="2"/>
      <c r="S41" s="2"/>
      <c r="T41" s="2"/>
      <c r="U41" s="2"/>
      <c r="V41" s="3"/>
    </row>
    <row r="42" ht="18.0" customHeight="1">
      <c r="A42" s="5" t="s">
        <v>428</v>
      </c>
      <c r="B42" s="5" t="s">
        <v>429</v>
      </c>
      <c r="C42" s="5">
        <v>70000.0</v>
      </c>
      <c r="D42" s="5" t="s">
        <v>260</v>
      </c>
      <c r="E42" s="5" t="s">
        <v>415</v>
      </c>
      <c r="F42" s="5" t="s">
        <v>430</v>
      </c>
      <c r="G42" s="5" t="s">
        <v>154</v>
      </c>
      <c r="H42" s="5" t="s">
        <v>260</v>
      </c>
      <c r="I42" s="5" t="s">
        <v>431</v>
      </c>
      <c r="J42" s="5" t="s">
        <v>432</v>
      </c>
      <c r="K42" s="7">
        <v>45052.0</v>
      </c>
      <c r="L42" s="9" t="s">
        <v>59</v>
      </c>
      <c r="M42" s="9" t="s">
        <v>60</v>
      </c>
      <c r="N42" s="9" t="s">
        <v>62</v>
      </c>
      <c r="O42" s="2"/>
      <c r="P42" s="2"/>
      <c r="Q42" s="2"/>
      <c r="R42" s="2"/>
      <c r="S42" s="2"/>
      <c r="T42" s="2"/>
      <c r="U42" s="2"/>
      <c r="V42" s="3"/>
    </row>
    <row r="43" ht="18.0" customHeight="1">
      <c r="A43" s="5" t="s">
        <v>435</v>
      </c>
      <c r="B43" s="5" t="s">
        <v>436</v>
      </c>
      <c r="C43" s="5">
        <v>70000.0</v>
      </c>
      <c r="D43" s="5" t="s">
        <v>260</v>
      </c>
      <c r="E43" s="5" t="s">
        <v>415</v>
      </c>
      <c r="F43" s="5" t="s">
        <v>438</v>
      </c>
      <c r="G43" s="5" t="s">
        <v>154</v>
      </c>
      <c r="H43" s="5" t="s">
        <v>260</v>
      </c>
      <c r="I43" s="5" t="s">
        <v>440</v>
      </c>
      <c r="J43" s="5" t="s">
        <v>441</v>
      </c>
      <c r="K43" s="7">
        <v>44996.0</v>
      </c>
      <c r="L43" s="9" t="s">
        <v>78</v>
      </c>
      <c r="M43" s="9" t="s">
        <v>60</v>
      </c>
      <c r="N43" s="9" t="s">
        <v>62</v>
      </c>
      <c r="O43" s="2"/>
      <c r="P43" s="2"/>
      <c r="Q43" s="2"/>
      <c r="R43" s="2"/>
      <c r="S43" s="2"/>
      <c r="T43" s="2"/>
      <c r="U43" s="2"/>
      <c r="V43" s="3"/>
    </row>
    <row r="44" ht="18.0" customHeight="1">
      <c r="A44" s="5" t="s">
        <v>443</v>
      </c>
      <c r="B44" s="5" t="s">
        <v>444</v>
      </c>
      <c r="C44" s="5">
        <v>70000.0</v>
      </c>
      <c r="D44" s="5" t="s">
        <v>260</v>
      </c>
      <c r="E44" s="5" t="s">
        <v>415</v>
      </c>
      <c r="F44" s="5" t="s">
        <v>446</v>
      </c>
      <c r="G44" s="5" t="s">
        <v>154</v>
      </c>
      <c r="H44" s="5" t="s">
        <v>260</v>
      </c>
      <c r="I44" s="5" t="s">
        <v>447</v>
      </c>
      <c r="J44" s="5" t="s">
        <v>448</v>
      </c>
      <c r="K44" s="7">
        <v>45218.0</v>
      </c>
      <c r="L44" s="9" t="s">
        <v>91</v>
      </c>
      <c r="M44" s="9" t="s">
        <v>60</v>
      </c>
      <c r="N44" s="9" t="s">
        <v>92</v>
      </c>
      <c r="O44" s="2"/>
      <c r="P44" s="2"/>
      <c r="Q44" s="2"/>
      <c r="R44" s="2"/>
      <c r="S44" s="2"/>
      <c r="T44" s="2"/>
      <c r="U44" s="2"/>
      <c r="V44" s="3"/>
    </row>
    <row r="45" ht="18.0" customHeight="1">
      <c r="A45" s="5" t="s">
        <v>451</v>
      </c>
      <c r="B45" s="5" t="s">
        <v>452</v>
      </c>
      <c r="C45" s="5">
        <v>16000.0</v>
      </c>
      <c r="D45" s="5" t="s">
        <v>142</v>
      </c>
      <c r="E45" s="5" t="s">
        <v>143</v>
      </c>
      <c r="F45" s="5" t="s">
        <v>453</v>
      </c>
      <c r="G45" s="5" t="s">
        <v>74</v>
      </c>
      <c r="H45" s="5" t="s">
        <v>142</v>
      </c>
      <c r="I45" s="5" t="s">
        <v>454</v>
      </c>
      <c r="J45" s="5" t="s">
        <v>455</v>
      </c>
      <c r="K45" s="7">
        <v>45257.0</v>
      </c>
      <c r="L45" s="9" t="s">
        <v>104</v>
      </c>
      <c r="M45" s="9" t="s">
        <v>60</v>
      </c>
      <c r="N45" s="9" t="s">
        <v>62</v>
      </c>
      <c r="O45" s="2"/>
      <c r="P45" s="2"/>
      <c r="Q45" s="2"/>
      <c r="R45" s="2"/>
      <c r="S45" s="2"/>
      <c r="T45" s="2"/>
      <c r="U45" s="2"/>
      <c r="V45" s="3"/>
    </row>
    <row r="46" ht="18.0" customHeight="1">
      <c r="A46" s="5" t="s">
        <v>457</v>
      </c>
      <c r="B46" s="5" t="s">
        <v>459</v>
      </c>
      <c r="C46" s="5">
        <v>25000.0</v>
      </c>
      <c r="D46" s="5" t="s">
        <v>96</v>
      </c>
      <c r="E46" s="5" t="s">
        <v>97</v>
      </c>
      <c r="F46" s="5" t="s">
        <v>144</v>
      </c>
      <c r="G46" s="5" t="s">
        <v>74</v>
      </c>
      <c r="H46" s="5" t="s">
        <v>96</v>
      </c>
      <c r="I46" s="5" t="s">
        <v>461</v>
      </c>
      <c r="J46" s="5" t="s">
        <v>462</v>
      </c>
      <c r="K46" s="7">
        <v>45256.0</v>
      </c>
      <c r="L46" s="9" t="s">
        <v>111</v>
      </c>
      <c r="M46" s="9" t="s">
        <v>60</v>
      </c>
      <c r="N46" s="9" t="s">
        <v>105</v>
      </c>
      <c r="O46" s="2"/>
      <c r="P46" s="2"/>
      <c r="Q46" s="2"/>
      <c r="R46" s="2"/>
      <c r="S46" s="2"/>
      <c r="T46" s="2"/>
      <c r="U46" s="2"/>
      <c r="V46" s="3"/>
    </row>
    <row r="47" ht="18.0" customHeight="1">
      <c r="A47" s="5" t="s">
        <v>466</v>
      </c>
      <c r="B47" s="5" t="s">
        <v>467</v>
      </c>
      <c r="C47" s="5">
        <v>78000.0</v>
      </c>
      <c r="D47" s="5" t="s">
        <v>151</v>
      </c>
      <c r="E47" s="5" t="s">
        <v>152</v>
      </c>
      <c r="F47" s="5" t="s">
        <v>468</v>
      </c>
      <c r="G47" s="5" t="s">
        <v>154</v>
      </c>
      <c r="H47" s="5" t="s">
        <v>151</v>
      </c>
      <c r="I47" s="5" t="s">
        <v>472</v>
      </c>
      <c r="J47" s="5" t="s">
        <v>473</v>
      </c>
      <c r="K47" s="7">
        <v>45297.0</v>
      </c>
      <c r="L47" s="9" t="s">
        <v>119</v>
      </c>
      <c r="M47" s="9" t="s">
        <v>60</v>
      </c>
      <c r="N47" s="9" t="s">
        <v>62</v>
      </c>
      <c r="O47" s="2"/>
      <c r="P47" s="2"/>
      <c r="Q47" s="2"/>
      <c r="R47" s="2"/>
      <c r="S47" s="2"/>
      <c r="T47" s="2"/>
      <c r="U47" s="2"/>
      <c r="V47" s="3"/>
    </row>
    <row r="48" ht="18.0" customHeight="1">
      <c r="A48" s="5" t="s">
        <v>474</v>
      </c>
      <c r="B48" s="5" t="s">
        <v>475</v>
      </c>
      <c r="C48" s="5">
        <v>18000.0</v>
      </c>
      <c r="D48" s="5" t="s">
        <v>123</v>
      </c>
      <c r="E48" s="5" t="s">
        <v>124</v>
      </c>
      <c r="F48" s="5" t="s">
        <v>477</v>
      </c>
      <c r="G48" s="5" t="s">
        <v>74</v>
      </c>
      <c r="H48" s="5" t="s">
        <v>123</v>
      </c>
      <c r="I48" s="5" t="s">
        <v>479</v>
      </c>
      <c r="J48" s="5" t="s">
        <v>480</v>
      </c>
      <c r="K48" s="7">
        <v>45333.0</v>
      </c>
      <c r="L48" s="9" t="s">
        <v>128</v>
      </c>
      <c r="M48" s="9" t="s">
        <v>60</v>
      </c>
      <c r="N48" s="9" t="s">
        <v>92</v>
      </c>
      <c r="O48" s="2"/>
      <c r="P48" s="2"/>
      <c r="Q48" s="2"/>
      <c r="R48" s="2"/>
      <c r="S48" s="2"/>
      <c r="T48" s="2"/>
      <c r="U48" s="2"/>
      <c r="V48" s="3"/>
    </row>
    <row r="49" ht="18.0" customHeight="1">
      <c r="A49" s="5" t="s">
        <v>484</v>
      </c>
      <c r="B49" s="5" t="s">
        <v>485</v>
      </c>
      <c r="C49" s="5">
        <v>55000.0</v>
      </c>
      <c r="D49" s="5" t="s">
        <v>39</v>
      </c>
      <c r="E49" s="5" t="s">
        <v>41</v>
      </c>
      <c r="F49" s="5" t="s">
        <v>486</v>
      </c>
      <c r="G49" s="5" t="s">
        <v>46</v>
      </c>
      <c r="H49" s="5" t="s">
        <v>39</v>
      </c>
      <c r="I49" s="5" t="s">
        <v>487</v>
      </c>
      <c r="J49" s="5" t="s">
        <v>488</v>
      </c>
      <c r="K49" s="7">
        <v>45489.0</v>
      </c>
      <c r="L49" s="9" t="s">
        <v>138</v>
      </c>
      <c r="M49" s="9" t="s">
        <v>60</v>
      </c>
      <c r="N49" s="9" t="s">
        <v>62</v>
      </c>
      <c r="O49" s="2"/>
      <c r="P49" s="2"/>
      <c r="Q49" s="2"/>
      <c r="R49" s="2"/>
      <c r="S49" s="2"/>
      <c r="T49" s="2"/>
      <c r="U49" s="2"/>
      <c r="V49" s="3"/>
    </row>
    <row r="50" ht="18.0" customHeight="1">
      <c r="A50" s="5" t="s">
        <v>490</v>
      </c>
      <c r="B50" s="5" t="s">
        <v>491</v>
      </c>
      <c r="C50" s="5">
        <v>18000.0</v>
      </c>
      <c r="D50" s="5" t="s">
        <v>123</v>
      </c>
      <c r="E50" s="5" t="s">
        <v>124</v>
      </c>
      <c r="F50" s="5" t="s">
        <v>493</v>
      </c>
      <c r="G50" s="5" t="s">
        <v>74</v>
      </c>
      <c r="H50" s="5" t="s">
        <v>123</v>
      </c>
      <c r="I50" s="5" t="s">
        <v>494</v>
      </c>
      <c r="J50" s="5" t="s">
        <v>495</v>
      </c>
      <c r="K50" s="7">
        <v>45558.0</v>
      </c>
      <c r="L50" s="9" t="s">
        <v>59</v>
      </c>
      <c r="M50" s="9" t="s">
        <v>60</v>
      </c>
      <c r="N50" s="9" t="s">
        <v>167</v>
      </c>
      <c r="O50" s="2"/>
      <c r="P50" s="2"/>
      <c r="Q50" s="2"/>
      <c r="R50" s="2"/>
      <c r="S50" s="2"/>
      <c r="T50" s="2"/>
      <c r="U50" s="2"/>
      <c r="V50" s="3"/>
    </row>
    <row r="51" ht="18.0" customHeight="1">
      <c r="A51" s="5" t="s">
        <v>498</v>
      </c>
      <c r="B51" s="5" t="s">
        <v>499</v>
      </c>
      <c r="C51" s="5">
        <v>90000.0</v>
      </c>
      <c r="D51" s="5" t="s">
        <v>215</v>
      </c>
      <c r="E51" s="5" t="s">
        <v>216</v>
      </c>
      <c r="F51" s="5" t="s">
        <v>500</v>
      </c>
      <c r="G51" s="5" t="s">
        <v>154</v>
      </c>
      <c r="H51" s="5" t="s">
        <v>215</v>
      </c>
      <c r="I51" s="5" t="s">
        <v>501</v>
      </c>
      <c r="J51" s="5" t="s">
        <v>502</v>
      </c>
      <c r="K51" s="7">
        <v>45469.0</v>
      </c>
      <c r="L51" s="9" t="s">
        <v>78</v>
      </c>
      <c r="M51" s="9" t="s">
        <v>60</v>
      </c>
      <c r="N51" s="9" t="s">
        <v>105</v>
      </c>
      <c r="O51" s="2"/>
      <c r="P51" s="2"/>
      <c r="Q51" s="2"/>
      <c r="R51" s="2"/>
      <c r="S51" s="2"/>
      <c r="T51" s="2"/>
      <c r="U51" s="2"/>
      <c r="V51" s="3"/>
    </row>
    <row r="52" ht="18.0" customHeight="1">
      <c r="A52" s="5" t="s">
        <v>504</v>
      </c>
      <c r="B52" s="5" t="s">
        <v>505</v>
      </c>
      <c r="C52" s="5">
        <v>18000.0</v>
      </c>
      <c r="D52" s="5" t="s">
        <v>123</v>
      </c>
      <c r="E52" s="5" t="s">
        <v>124</v>
      </c>
      <c r="F52" s="5" t="s">
        <v>506</v>
      </c>
      <c r="G52" s="5" t="s">
        <v>74</v>
      </c>
      <c r="H52" s="5" t="s">
        <v>123</v>
      </c>
      <c r="I52" s="5" t="s">
        <v>508</v>
      </c>
      <c r="J52" s="5" t="s">
        <v>509</v>
      </c>
      <c r="K52" s="7">
        <v>45303.0</v>
      </c>
      <c r="L52" s="9" t="s">
        <v>91</v>
      </c>
      <c r="M52" s="9" t="s">
        <v>60</v>
      </c>
      <c r="N52" s="9" t="s">
        <v>167</v>
      </c>
      <c r="O52" s="2"/>
      <c r="P52" s="2"/>
      <c r="Q52" s="2"/>
      <c r="R52" s="2"/>
      <c r="S52" s="2"/>
      <c r="T52" s="2"/>
      <c r="U52" s="2"/>
      <c r="V52" s="3"/>
    </row>
    <row r="53" ht="18.0" customHeight="1">
      <c r="A53" s="5" t="s">
        <v>511</v>
      </c>
      <c r="B53" s="5" t="s">
        <v>512</v>
      </c>
      <c r="C53" s="5">
        <v>78000.0</v>
      </c>
      <c r="D53" s="5" t="s">
        <v>151</v>
      </c>
      <c r="E53" s="5" t="s">
        <v>152</v>
      </c>
      <c r="F53" s="5" t="s">
        <v>514</v>
      </c>
      <c r="G53" s="5" t="s">
        <v>154</v>
      </c>
      <c r="H53" s="5" t="s">
        <v>151</v>
      </c>
      <c r="I53" s="5" t="s">
        <v>515</v>
      </c>
      <c r="J53" s="5" t="s">
        <v>516</v>
      </c>
      <c r="K53" s="7">
        <v>45344.0</v>
      </c>
      <c r="L53" s="9" t="s">
        <v>104</v>
      </c>
      <c r="M53" s="9" t="s">
        <v>60</v>
      </c>
      <c r="N53" s="9" t="s">
        <v>62</v>
      </c>
      <c r="O53" s="2"/>
      <c r="P53" s="2"/>
      <c r="Q53" s="2"/>
      <c r="R53" s="2"/>
      <c r="S53" s="2"/>
      <c r="T53" s="2"/>
      <c r="U53" s="2"/>
      <c r="V53" s="3"/>
    </row>
    <row r="54" ht="18.0" customHeight="1">
      <c r="A54" s="5" t="s">
        <v>519</v>
      </c>
      <c r="B54" s="5" t="s">
        <v>520</v>
      </c>
      <c r="C54" s="5">
        <v>53000.0</v>
      </c>
      <c r="D54" s="5" t="s">
        <v>192</v>
      </c>
      <c r="E54" s="5" t="s">
        <v>194</v>
      </c>
      <c r="F54" s="5" t="s">
        <v>523</v>
      </c>
      <c r="G54" s="5" t="s">
        <v>46</v>
      </c>
      <c r="H54" s="5" t="s">
        <v>192</v>
      </c>
      <c r="I54" s="5" t="s">
        <v>524</v>
      </c>
      <c r="J54" s="5" t="s">
        <v>525</v>
      </c>
      <c r="K54" s="7">
        <v>45008.0</v>
      </c>
      <c r="L54" s="9" t="s">
        <v>111</v>
      </c>
      <c r="M54" s="9" t="s">
        <v>60</v>
      </c>
      <c r="N54" s="9" t="s">
        <v>62</v>
      </c>
      <c r="O54" s="2"/>
      <c r="P54" s="2"/>
      <c r="Q54" s="2"/>
      <c r="R54" s="2"/>
      <c r="S54" s="2"/>
      <c r="T54" s="2"/>
      <c r="U54" s="2"/>
      <c r="V54" s="3"/>
    </row>
    <row r="55" ht="18.0" customHeight="1">
      <c r="A55" s="5" t="s">
        <v>528</v>
      </c>
      <c r="B55" s="5" t="s">
        <v>529</v>
      </c>
      <c r="C55" s="5">
        <v>90000.0</v>
      </c>
      <c r="D55" s="5" t="s">
        <v>215</v>
      </c>
      <c r="E55" s="5" t="s">
        <v>216</v>
      </c>
      <c r="F55" s="5" t="s">
        <v>531</v>
      </c>
      <c r="G55" s="5" t="s">
        <v>154</v>
      </c>
      <c r="H55" s="5" t="s">
        <v>215</v>
      </c>
      <c r="I55" s="5" t="s">
        <v>532</v>
      </c>
      <c r="J55" s="5" t="s">
        <v>534</v>
      </c>
      <c r="K55" s="7">
        <v>45650.0</v>
      </c>
      <c r="L55" s="9" t="s">
        <v>119</v>
      </c>
      <c r="M55" s="9" t="s">
        <v>60</v>
      </c>
      <c r="N55" s="9" t="s">
        <v>62</v>
      </c>
      <c r="O55" s="2"/>
      <c r="P55" s="2"/>
      <c r="Q55" s="2"/>
      <c r="R55" s="2"/>
      <c r="S55" s="2"/>
      <c r="T55" s="2"/>
      <c r="U55" s="2"/>
      <c r="V55" s="3"/>
    </row>
    <row r="56" ht="18.0" customHeight="1">
      <c r="A56" s="5" t="s">
        <v>535</v>
      </c>
      <c r="B56" s="5" t="s">
        <v>536</v>
      </c>
      <c r="C56" s="5">
        <v>82000.0</v>
      </c>
      <c r="D56" s="5" t="s">
        <v>202</v>
      </c>
      <c r="E56" s="5" t="s">
        <v>203</v>
      </c>
      <c r="F56" s="5" t="s">
        <v>537</v>
      </c>
      <c r="G56" s="5" t="s">
        <v>154</v>
      </c>
      <c r="H56" s="5" t="s">
        <v>202</v>
      </c>
      <c r="I56" s="5" t="s">
        <v>538</v>
      </c>
      <c r="J56" s="5" t="s">
        <v>539</v>
      </c>
      <c r="K56" s="7">
        <v>45593.0</v>
      </c>
      <c r="L56" s="9" t="s">
        <v>128</v>
      </c>
      <c r="M56" s="9" t="s">
        <v>60</v>
      </c>
      <c r="N56" s="9" t="s">
        <v>105</v>
      </c>
      <c r="O56" s="2"/>
      <c r="P56" s="2"/>
      <c r="Q56" s="2"/>
      <c r="R56" s="2"/>
      <c r="S56" s="2"/>
      <c r="T56" s="2"/>
      <c r="U56" s="2"/>
      <c r="V56" s="3"/>
    </row>
    <row r="57" ht="18.0" customHeight="1">
      <c r="A57" s="5" t="s">
        <v>247</v>
      </c>
      <c r="B57" s="5" t="s">
        <v>254</v>
      </c>
      <c r="C57" s="5">
        <v>70000.0</v>
      </c>
      <c r="D57" s="5" t="s">
        <v>260</v>
      </c>
      <c r="E57" s="5" t="s">
        <v>415</v>
      </c>
      <c r="F57" s="5" t="s">
        <v>359</v>
      </c>
      <c r="G57" s="5" t="s">
        <v>154</v>
      </c>
      <c r="H57" s="5" t="s">
        <v>260</v>
      </c>
      <c r="I57" s="5" t="s">
        <v>543</v>
      </c>
      <c r="J57" s="5" t="s">
        <v>544</v>
      </c>
      <c r="K57" s="7">
        <v>45259.0</v>
      </c>
      <c r="L57" s="9" t="s">
        <v>138</v>
      </c>
      <c r="M57" s="9" t="s">
        <v>60</v>
      </c>
      <c r="N57" s="9" t="s">
        <v>92</v>
      </c>
      <c r="O57" s="2"/>
      <c r="P57" s="2"/>
      <c r="Q57" s="2"/>
      <c r="R57" s="2"/>
      <c r="S57" s="2"/>
      <c r="T57" s="2"/>
      <c r="U57" s="2"/>
      <c r="V57" s="3"/>
    </row>
    <row r="58" ht="18.0" customHeight="1">
      <c r="A58" s="5" t="s">
        <v>85</v>
      </c>
      <c r="B58" s="5" t="s">
        <v>95</v>
      </c>
      <c r="C58" s="5">
        <v>25000.0</v>
      </c>
      <c r="D58" s="5" t="s">
        <v>96</v>
      </c>
      <c r="E58" s="5" t="s">
        <v>97</v>
      </c>
      <c r="F58" s="5" t="s">
        <v>547</v>
      </c>
      <c r="G58" s="5" t="s">
        <v>74</v>
      </c>
      <c r="H58" s="5" t="s">
        <v>96</v>
      </c>
      <c r="I58" s="5" t="s">
        <v>548</v>
      </c>
      <c r="J58" s="5" t="s">
        <v>549</v>
      </c>
      <c r="K58" s="7">
        <v>45133.0</v>
      </c>
      <c r="L58" s="9" t="s">
        <v>59</v>
      </c>
      <c r="M58" s="9" t="s">
        <v>60</v>
      </c>
      <c r="N58" s="9" t="s">
        <v>62</v>
      </c>
      <c r="O58" s="2"/>
      <c r="P58" s="2"/>
      <c r="Q58" s="2"/>
      <c r="R58" s="2"/>
      <c r="S58" s="2"/>
      <c r="T58" s="2"/>
      <c r="U58" s="2"/>
      <c r="V58" s="3"/>
    </row>
    <row r="59" ht="18.0" customHeight="1">
      <c r="A59" s="5" t="s">
        <v>551</v>
      </c>
      <c r="B59" s="5" t="s">
        <v>552</v>
      </c>
      <c r="C59" s="5">
        <v>43000.0</v>
      </c>
      <c r="D59" s="5" t="s">
        <v>553</v>
      </c>
      <c r="E59" s="5" t="s">
        <v>554</v>
      </c>
      <c r="F59" s="5" t="s">
        <v>556</v>
      </c>
      <c r="G59" s="5" t="s">
        <v>46</v>
      </c>
      <c r="H59" s="5" t="s">
        <v>553</v>
      </c>
      <c r="I59" s="5" t="s">
        <v>557</v>
      </c>
      <c r="J59" s="5" t="s">
        <v>558</v>
      </c>
      <c r="K59" s="7">
        <v>45413.0</v>
      </c>
      <c r="L59" s="9" t="s">
        <v>78</v>
      </c>
      <c r="M59" s="9" t="s">
        <v>60</v>
      </c>
      <c r="N59" s="9" t="s">
        <v>62</v>
      </c>
      <c r="O59" s="2"/>
      <c r="P59" s="2"/>
      <c r="Q59" s="2"/>
      <c r="R59" s="2"/>
      <c r="S59" s="2"/>
      <c r="T59" s="2"/>
      <c r="U59" s="2"/>
      <c r="V59" s="3"/>
    </row>
    <row r="60" ht="18.0" customHeight="1">
      <c r="A60" s="5" t="s">
        <v>559</v>
      </c>
      <c r="B60" s="5" t="s">
        <v>560</v>
      </c>
      <c r="C60" s="5">
        <v>17000.0</v>
      </c>
      <c r="D60" s="5" t="s">
        <v>287</v>
      </c>
      <c r="E60" s="5" t="s">
        <v>288</v>
      </c>
      <c r="F60" s="5" t="s">
        <v>561</v>
      </c>
      <c r="G60" s="5" t="s">
        <v>74</v>
      </c>
      <c r="H60" s="5" t="s">
        <v>287</v>
      </c>
      <c r="I60" s="5" t="s">
        <v>562</v>
      </c>
      <c r="J60" s="5" t="s">
        <v>563</v>
      </c>
      <c r="K60" s="7">
        <v>45068.0</v>
      </c>
      <c r="L60" s="9" t="s">
        <v>91</v>
      </c>
      <c r="M60" s="9" t="s">
        <v>60</v>
      </c>
      <c r="N60" s="9" t="s">
        <v>105</v>
      </c>
      <c r="O60" s="2"/>
      <c r="P60" s="2"/>
      <c r="Q60" s="2"/>
      <c r="R60" s="2"/>
      <c r="S60" s="2"/>
      <c r="T60" s="2"/>
      <c r="U60" s="2"/>
      <c r="V60" s="3"/>
    </row>
    <row r="61" ht="18.0" customHeight="1">
      <c r="A61" s="5" t="s">
        <v>564</v>
      </c>
      <c r="B61" s="5" t="s">
        <v>566</v>
      </c>
      <c r="C61" s="5">
        <v>25000.0</v>
      </c>
      <c r="D61" s="5" t="s">
        <v>96</v>
      </c>
      <c r="E61" s="5" t="s">
        <v>97</v>
      </c>
      <c r="F61" s="5" t="s">
        <v>567</v>
      </c>
      <c r="G61" s="5" t="s">
        <v>74</v>
      </c>
      <c r="H61" s="5" t="s">
        <v>96</v>
      </c>
      <c r="I61" s="5" t="s">
        <v>568</v>
      </c>
      <c r="J61" s="5" t="s">
        <v>569</v>
      </c>
      <c r="K61" s="7">
        <v>45572.0</v>
      </c>
      <c r="L61" s="9" t="s">
        <v>104</v>
      </c>
      <c r="M61" s="9" t="s">
        <v>60</v>
      </c>
      <c r="N61" s="9" t="s">
        <v>92</v>
      </c>
      <c r="O61" s="2"/>
      <c r="P61" s="2"/>
      <c r="Q61" s="2"/>
      <c r="R61" s="2"/>
      <c r="S61" s="2"/>
      <c r="T61" s="2"/>
      <c r="U61" s="2"/>
      <c r="V61" s="3"/>
    </row>
    <row r="62" ht="18.0" customHeight="1">
      <c r="A62" s="5" t="s">
        <v>570</v>
      </c>
      <c r="B62" s="5" t="s">
        <v>571</v>
      </c>
      <c r="C62" s="5">
        <v>20000.0</v>
      </c>
      <c r="D62" s="5" t="s">
        <v>171</v>
      </c>
      <c r="E62" s="5" t="s">
        <v>172</v>
      </c>
      <c r="F62" s="5" t="s">
        <v>572</v>
      </c>
      <c r="G62" s="5" t="s">
        <v>74</v>
      </c>
      <c r="H62" s="5" t="s">
        <v>171</v>
      </c>
      <c r="I62" s="5" t="s">
        <v>573</v>
      </c>
      <c r="J62" s="5" t="s">
        <v>574</v>
      </c>
      <c r="K62" s="7">
        <v>45538.0</v>
      </c>
      <c r="L62" s="9" t="s">
        <v>111</v>
      </c>
      <c r="M62" s="9" t="s">
        <v>60</v>
      </c>
      <c r="N62" s="9" t="s">
        <v>167</v>
      </c>
      <c r="O62" s="2"/>
      <c r="P62" s="2"/>
      <c r="Q62" s="2"/>
      <c r="R62" s="2"/>
      <c r="S62" s="2"/>
      <c r="T62" s="2"/>
      <c r="U62" s="2"/>
      <c r="V62" s="3"/>
    </row>
    <row r="63" ht="18.0" customHeight="1">
      <c r="A63" s="5" t="s">
        <v>576</v>
      </c>
      <c r="B63" s="5" t="s">
        <v>577</v>
      </c>
      <c r="C63" s="5">
        <v>59000.0</v>
      </c>
      <c r="D63" s="5" t="s">
        <v>306</v>
      </c>
      <c r="E63" s="5" t="s">
        <v>307</v>
      </c>
      <c r="F63" s="5" t="s">
        <v>468</v>
      </c>
      <c r="G63" s="5" t="s">
        <v>46</v>
      </c>
      <c r="H63" s="5" t="s">
        <v>306</v>
      </c>
      <c r="I63" s="5" t="s">
        <v>578</v>
      </c>
      <c r="J63" s="5" t="s">
        <v>579</v>
      </c>
      <c r="K63" s="7">
        <v>45447.0</v>
      </c>
      <c r="L63" s="9" t="s">
        <v>119</v>
      </c>
      <c r="M63" s="9" t="s">
        <v>60</v>
      </c>
      <c r="N63" s="9" t="s">
        <v>167</v>
      </c>
      <c r="O63" s="2"/>
      <c r="P63" s="2"/>
      <c r="Q63" s="2"/>
      <c r="R63" s="2"/>
      <c r="S63" s="2"/>
      <c r="T63" s="2"/>
      <c r="U63" s="2"/>
      <c r="V63" s="3"/>
    </row>
    <row r="64" ht="18.0" customHeight="1">
      <c r="A64" s="5" t="s">
        <v>581</v>
      </c>
      <c r="B64" s="5" t="s">
        <v>582</v>
      </c>
      <c r="C64" s="5">
        <v>76000.0</v>
      </c>
      <c r="D64" s="5" t="s">
        <v>268</v>
      </c>
      <c r="E64" s="5" t="s">
        <v>269</v>
      </c>
      <c r="F64" s="5" t="s">
        <v>583</v>
      </c>
      <c r="G64" s="5" t="s">
        <v>154</v>
      </c>
      <c r="H64" s="5" t="s">
        <v>268</v>
      </c>
      <c r="I64" s="5" t="s">
        <v>584</v>
      </c>
      <c r="J64" s="5" t="s">
        <v>585</v>
      </c>
      <c r="K64" s="7">
        <v>45383.0</v>
      </c>
      <c r="L64" s="9" t="s">
        <v>128</v>
      </c>
      <c r="M64" s="9" t="s">
        <v>60</v>
      </c>
      <c r="N64" s="9" t="s">
        <v>167</v>
      </c>
      <c r="O64" s="2"/>
      <c r="P64" s="2"/>
      <c r="Q64" s="2"/>
      <c r="R64" s="2"/>
      <c r="S64" s="2"/>
      <c r="T64" s="2"/>
      <c r="U64" s="2"/>
      <c r="V64" s="3"/>
    </row>
    <row r="65" ht="18.0" customHeight="1">
      <c r="A65" s="5" t="s">
        <v>587</v>
      </c>
      <c r="B65" s="5" t="s">
        <v>588</v>
      </c>
      <c r="C65" s="5">
        <v>70000.0</v>
      </c>
      <c r="D65" s="5" t="s">
        <v>260</v>
      </c>
      <c r="E65" s="5" t="s">
        <v>415</v>
      </c>
      <c r="F65" s="5" t="s">
        <v>590</v>
      </c>
      <c r="G65" s="5" t="s">
        <v>154</v>
      </c>
      <c r="H65" s="5" t="s">
        <v>260</v>
      </c>
      <c r="I65" s="5" t="s">
        <v>591</v>
      </c>
      <c r="J65" s="5" t="s">
        <v>592</v>
      </c>
      <c r="K65" s="7">
        <v>45130.0</v>
      </c>
      <c r="L65" s="9" t="s">
        <v>138</v>
      </c>
      <c r="M65" s="9" t="s">
        <v>60</v>
      </c>
      <c r="N65" s="9" t="s">
        <v>167</v>
      </c>
      <c r="O65" s="2"/>
      <c r="P65" s="2"/>
      <c r="Q65" s="2"/>
      <c r="R65" s="2"/>
      <c r="S65" s="2"/>
      <c r="T65" s="2"/>
      <c r="U65" s="2"/>
      <c r="V65" s="3"/>
    </row>
    <row r="66" ht="18.0" customHeight="1">
      <c r="A66" s="5" t="s">
        <v>594</v>
      </c>
      <c r="B66" s="5" t="s">
        <v>595</v>
      </c>
      <c r="C66" s="5">
        <v>55000.0</v>
      </c>
      <c r="D66" s="5" t="s">
        <v>39</v>
      </c>
      <c r="E66" s="5" t="s">
        <v>41</v>
      </c>
      <c r="F66" s="5" t="s">
        <v>596</v>
      </c>
      <c r="G66" s="5" t="s">
        <v>46</v>
      </c>
      <c r="H66" s="5" t="s">
        <v>39</v>
      </c>
      <c r="I66" s="5" t="s">
        <v>597</v>
      </c>
      <c r="J66" s="5" t="s">
        <v>598</v>
      </c>
      <c r="K66" s="7">
        <v>45032.0</v>
      </c>
      <c r="L66" s="9" t="s">
        <v>59</v>
      </c>
      <c r="M66" s="9" t="s">
        <v>60</v>
      </c>
      <c r="N66" s="9" t="s">
        <v>167</v>
      </c>
      <c r="O66" s="2"/>
      <c r="P66" s="2"/>
      <c r="Q66" s="2"/>
      <c r="R66" s="2"/>
      <c r="S66" s="2"/>
      <c r="T66" s="2"/>
      <c r="U66" s="2"/>
      <c r="V66" s="3"/>
    </row>
    <row r="67" ht="18.0" customHeight="1">
      <c r="A67" s="5" t="s">
        <v>599</v>
      </c>
      <c r="B67" s="5" t="s">
        <v>600</v>
      </c>
      <c r="C67" s="5">
        <v>56000.0</v>
      </c>
      <c r="D67" s="5" t="s">
        <v>84</v>
      </c>
      <c r="E67" s="5" t="s">
        <v>86</v>
      </c>
      <c r="F67" s="5" t="s">
        <v>601</v>
      </c>
      <c r="G67" s="5" t="s">
        <v>46</v>
      </c>
      <c r="H67" s="5" t="s">
        <v>84</v>
      </c>
      <c r="I67" s="5" t="s">
        <v>603</v>
      </c>
      <c r="J67" s="5" t="s">
        <v>604</v>
      </c>
      <c r="K67" s="7">
        <v>45633.0</v>
      </c>
      <c r="L67" s="9" t="s">
        <v>78</v>
      </c>
      <c r="M67" s="9" t="s">
        <v>60</v>
      </c>
      <c r="N67" s="9" t="s">
        <v>105</v>
      </c>
      <c r="O67" s="2"/>
      <c r="P67" s="2"/>
      <c r="Q67" s="2"/>
      <c r="R67" s="2"/>
      <c r="S67" s="2"/>
      <c r="T67" s="2"/>
      <c r="U67" s="2"/>
      <c r="V67" s="3"/>
    </row>
    <row r="68" ht="18.0" customHeight="1">
      <c r="A68" s="5" t="s">
        <v>606</v>
      </c>
      <c r="B68" s="5" t="s">
        <v>607</v>
      </c>
      <c r="C68" s="5">
        <v>55000.0</v>
      </c>
      <c r="D68" s="5" t="s">
        <v>39</v>
      </c>
      <c r="E68" s="5" t="s">
        <v>41</v>
      </c>
      <c r="F68" s="5" t="s">
        <v>608</v>
      </c>
      <c r="G68" s="5" t="s">
        <v>46</v>
      </c>
      <c r="H68" s="5" t="s">
        <v>39</v>
      </c>
      <c r="I68" s="5" t="s">
        <v>609</v>
      </c>
      <c r="J68" s="5" t="s">
        <v>610</v>
      </c>
      <c r="K68" s="7">
        <v>45550.0</v>
      </c>
      <c r="L68" s="9" t="s">
        <v>91</v>
      </c>
      <c r="M68" s="9" t="s">
        <v>60</v>
      </c>
      <c r="N68" s="9" t="s">
        <v>167</v>
      </c>
      <c r="O68" s="2"/>
      <c r="P68" s="2"/>
      <c r="Q68" s="2"/>
      <c r="R68" s="2"/>
      <c r="S68" s="2"/>
      <c r="T68" s="2"/>
      <c r="U68" s="2"/>
      <c r="V68" s="3"/>
    </row>
    <row r="69" ht="18.0" customHeight="1">
      <c r="A69" s="5" t="s">
        <v>611</v>
      </c>
      <c r="B69" s="5" t="s">
        <v>612</v>
      </c>
      <c r="C69" s="5">
        <v>53000.0</v>
      </c>
      <c r="D69" s="5" t="s">
        <v>192</v>
      </c>
      <c r="E69" s="5" t="s">
        <v>194</v>
      </c>
      <c r="F69" s="5" t="s">
        <v>614</v>
      </c>
      <c r="G69" s="5" t="s">
        <v>46</v>
      </c>
      <c r="H69" s="5" t="s">
        <v>192</v>
      </c>
      <c r="I69" s="5" t="s">
        <v>616</v>
      </c>
      <c r="J69" s="5" t="s">
        <v>617</v>
      </c>
      <c r="K69" s="7">
        <v>45040.0</v>
      </c>
      <c r="L69" s="9" t="s">
        <v>104</v>
      </c>
      <c r="M69" s="9" t="s">
        <v>60</v>
      </c>
      <c r="N69" s="9" t="s">
        <v>167</v>
      </c>
      <c r="O69" s="2"/>
      <c r="P69" s="2"/>
      <c r="Q69" s="2"/>
      <c r="R69" s="2"/>
      <c r="S69" s="2"/>
      <c r="T69" s="2"/>
      <c r="U69" s="2"/>
      <c r="V69" s="3"/>
    </row>
    <row r="70" ht="18.0" customHeight="1">
      <c r="A70" s="5" t="s">
        <v>619</v>
      </c>
      <c r="B70" s="5" t="s">
        <v>620</v>
      </c>
      <c r="C70" s="5">
        <v>59000.0</v>
      </c>
      <c r="D70" s="5" t="s">
        <v>306</v>
      </c>
      <c r="E70" s="5" t="s">
        <v>307</v>
      </c>
      <c r="F70" s="5" t="s">
        <v>621</v>
      </c>
      <c r="G70" s="5" t="s">
        <v>46</v>
      </c>
      <c r="H70" s="5" t="s">
        <v>306</v>
      </c>
      <c r="I70" s="5" t="s">
        <v>622</v>
      </c>
      <c r="J70" s="5" t="s">
        <v>623</v>
      </c>
      <c r="K70" s="7">
        <v>45343.0</v>
      </c>
      <c r="L70" s="9" t="s">
        <v>111</v>
      </c>
      <c r="M70" s="9" t="s">
        <v>60</v>
      </c>
      <c r="N70" s="9" t="s">
        <v>167</v>
      </c>
      <c r="O70" s="2"/>
      <c r="P70" s="2"/>
      <c r="Q70" s="2"/>
      <c r="R70" s="2"/>
      <c r="S70" s="2"/>
      <c r="T70" s="2"/>
      <c r="U70" s="2"/>
      <c r="V70" s="3"/>
    </row>
    <row r="71" ht="18.0" customHeight="1">
      <c r="A71" s="5" t="s">
        <v>624</v>
      </c>
      <c r="B71" s="5" t="s">
        <v>626</v>
      </c>
      <c r="C71" s="5">
        <v>70000.0</v>
      </c>
      <c r="D71" s="5" t="s">
        <v>260</v>
      </c>
      <c r="E71" s="5" t="s">
        <v>415</v>
      </c>
      <c r="F71" s="5" t="s">
        <v>627</v>
      </c>
      <c r="G71" s="5" t="s">
        <v>154</v>
      </c>
      <c r="H71" s="5" t="s">
        <v>260</v>
      </c>
      <c r="I71" s="5" t="s">
        <v>628</v>
      </c>
      <c r="J71" s="5" t="s">
        <v>629</v>
      </c>
      <c r="K71" s="7">
        <v>45356.0</v>
      </c>
      <c r="L71" s="9" t="s">
        <v>119</v>
      </c>
      <c r="M71" s="9" t="s">
        <v>60</v>
      </c>
      <c r="N71" s="9" t="s">
        <v>167</v>
      </c>
      <c r="O71" s="2"/>
      <c r="P71" s="2"/>
      <c r="Q71" s="2"/>
      <c r="R71" s="2"/>
      <c r="S71" s="2"/>
      <c r="T71" s="2"/>
      <c r="U71" s="2"/>
      <c r="V71" s="3"/>
    </row>
    <row r="72" ht="18.0" customHeight="1">
      <c r="A72" s="5" t="s">
        <v>631</v>
      </c>
      <c r="B72" s="5" t="s">
        <v>632</v>
      </c>
      <c r="C72" s="5">
        <v>20000.0</v>
      </c>
      <c r="D72" s="5" t="s">
        <v>171</v>
      </c>
      <c r="E72" s="5" t="s">
        <v>172</v>
      </c>
      <c r="F72" s="5" t="s">
        <v>633</v>
      </c>
      <c r="G72" s="5" t="s">
        <v>74</v>
      </c>
      <c r="H72" s="5" t="s">
        <v>171</v>
      </c>
      <c r="I72" s="5" t="s">
        <v>635</v>
      </c>
      <c r="J72" s="5" t="s">
        <v>636</v>
      </c>
      <c r="K72" s="7">
        <v>44958.0</v>
      </c>
      <c r="L72" s="9" t="s">
        <v>128</v>
      </c>
      <c r="M72" s="9" t="s">
        <v>60</v>
      </c>
      <c r="N72" s="9" t="s">
        <v>167</v>
      </c>
      <c r="O72" s="2"/>
      <c r="P72" s="2"/>
      <c r="Q72" s="2"/>
      <c r="R72" s="2"/>
      <c r="S72" s="2"/>
      <c r="T72" s="2"/>
      <c r="U72" s="2"/>
      <c r="V72" s="3"/>
    </row>
    <row r="73" ht="18.0" customHeight="1">
      <c r="A73" s="5" t="s">
        <v>637</v>
      </c>
      <c r="B73" s="5" t="s">
        <v>638</v>
      </c>
      <c r="C73" s="5">
        <v>25000.0</v>
      </c>
      <c r="D73" s="5" t="s">
        <v>96</v>
      </c>
      <c r="E73" s="5" t="s">
        <v>97</v>
      </c>
      <c r="F73" s="5" t="s">
        <v>639</v>
      </c>
      <c r="G73" s="5" t="s">
        <v>74</v>
      </c>
      <c r="H73" s="5" t="s">
        <v>96</v>
      </c>
      <c r="I73" s="5" t="s">
        <v>640</v>
      </c>
      <c r="J73" s="5" t="s">
        <v>641</v>
      </c>
      <c r="K73" s="7">
        <v>45176.0</v>
      </c>
      <c r="L73" s="9" t="s">
        <v>138</v>
      </c>
      <c r="M73" s="9" t="s">
        <v>60</v>
      </c>
      <c r="N73" s="9" t="s">
        <v>167</v>
      </c>
      <c r="O73" s="2"/>
      <c r="P73" s="2"/>
      <c r="Q73" s="2"/>
      <c r="R73" s="2"/>
      <c r="S73" s="2"/>
      <c r="T73" s="2"/>
      <c r="U73" s="2"/>
      <c r="V73" s="3"/>
    </row>
    <row r="74" ht="18.0" customHeight="1">
      <c r="A74" s="5" t="s">
        <v>643</v>
      </c>
      <c r="B74" s="5" t="s">
        <v>644</v>
      </c>
      <c r="C74" s="5">
        <v>56000.0</v>
      </c>
      <c r="D74" s="5" t="s">
        <v>84</v>
      </c>
      <c r="E74" s="5" t="s">
        <v>86</v>
      </c>
      <c r="F74" s="5" t="s">
        <v>645</v>
      </c>
      <c r="G74" s="5" t="s">
        <v>46</v>
      </c>
      <c r="H74" s="5" t="s">
        <v>84</v>
      </c>
      <c r="I74" s="5" t="s">
        <v>646</v>
      </c>
      <c r="J74" s="5" t="s">
        <v>647</v>
      </c>
      <c r="K74" s="7">
        <v>45041.0</v>
      </c>
      <c r="L74" s="9" t="s">
        <v>59</v>
      </c>
      <c r="M74" s="9" t="s">
        <v>60</v>
      </c>
      <c r="N74" s="9" t="s">
        <v>167</v>
      </c>
      <c r="O74" s="2"/>
      <c r="P74" s="2"/>
      <c r="Q74" s="2"/>
      <c r="R74" s="2"/>
      <c r="S74" s="2"/>
      <c r="T74" s="2"/>
      <c r="U74" s="2"/>
      <c r="V74" s="3"/>
    </row>
    <row r="75" ht="18.0" customHeight="1">
      <c r="A75" s="5" t="s">
        <v>648</v>
      </c>
      <c r="B75" s="5" t="s">
        <v>649</v>
      </c>
      <c r="C75" s="5">
        <v>70000.0</v>
      </c>
      <c r="D75" s="5" t="s">
        <v>260</v>
      </c>
      <c r="E75" s="5" t="s">
        <v>415</v>
      </c>
      <c r="F75" s="5" t="s">
        <v>651</v>
      </c>
      <c r="G75" s="5" t="s">
        <v>154</v>
      </c>
      <c r="H75" s="5" t="s">
        <v>260</v>
      </c>
      <c r="I75" s="5" t="s">
        <v>652</v>
      </c>
      <c r="J75" s="5" t="s">
        <v>653</v>
      </c>
      <c r="K75" s="7">
        <v>45322.0</v>
      </c>
      <c r="L75" s="9" t="s">
        <v>78</v>
      </c>
      <c r="M75" s="9" t="s">
        <v>60</v>
      </c>
      <c r="N75" s="9" t="s">
        <v>167</v>
      </c>
      <c r="O75" s="2"/>
      <c r="P75" s="2"/>
      <c r="Q75" s="2"/>
      <c r="R75" s="2"/>
      <c r="S75" s="2"/>
      <c r="T75" s="2"/>
      <c r="U75" s="2"/>
      <c r="V75" s="3"/>
    </row>
    <row r="76" ht="18.0" customHeight="1">
      <c r="A76" s="5" t="s">
        <v>654</v>
      </c>
      <c r="B76" s="5" t="s">
        <v>655</v>
      </c>
      <c r="C76" s="5">
        <v>25000.0</v>
      </c>
      <c r="D76" s="5" t="s">
        <v>96</v>
      </c>
      <c r="E76" s="5" t="s">
        <v>97</v>
      </c>
      <c r="F76" s="5" t="s">
        <v>657</v>
      </c>
      <c r="G76" s="5" t="s">
        <v>74</v>
      </c>
      <c r="H76" s="5" t="s">
        <v>96</v>
      </c>
      <c r="I76" s="5" t="s">
        <v>658</v>
      </c>
      <c r="J76" s="5" t="s">
        <v>659</v>
      </c>
      <c r="K76" s="7">
        <v>45342.0</v>
      </c>
      <c r="L76" s="9" t="s">
        <v>91</v>
      </c>
      <c r="M76" s="9" t="s">
        <v>60</v>
      </c>
      <c r="N76" s="9" t="s">
        <v>167</v>
      </c>
      <c r="O76" s="2"/>
      <c r="P76" s="2"/>
      <c r="Q76" s="2"/>
      <c r="R76" s="2"/>
      <c r="S76" s="2"/>
      <c r="T76" s="2"/>
      <c r="U76" s="2"/>
      <c r="V76" s="3"/>
    </row>
    <row r="77" ht="18.0" customHeight="1">
      <c r="A77" s="5" t="s">
        <v>661</v>
      </c>
      <c r="B77" s="5" t="s">
        <v>662</v>
      </c>
      <c r="C77" s="5">
        <v>65000.0</v>
      </c>
      <c r="D77" s="5" t="s">
        <v>132</v>
      </c>
      <c r="E77" s="5" t="s">
        <v>133</v>
      </c>
      <c r="F77" s="5" t="s">
        <v>663</v>
      </c>
      <c r="G77" s="5" t="s">
        <v>46</v>
      </c>
      <c r="H77" s="5" t="s">
        <v>132</v>
      </c>
      <c r="I77" s="5" t="s">
        <v>665</v>
      </c>
      <c r="J77" s="5" t="s">
        <v>666</v>
      </c>
      <c r="K77" s="7">
        <v>45104.0</v>
      </c>
      <c r="L77" s="9" t="s">
        <v>104</v>
      </c>
      <c r="M77" s="9" t="s">
        <v>60</v>
      </c>
      <c r="N77" s="9" t="s">
        <v>105</v>
      </c>
      <c r="O77" s="2"/>
      <c r="P77" s="2"/>
      <c r="Q77" s="2"/>
      <c r="R77" s="2"/>
      <c r="S77" s="2"/>
      <c r="T77" s="2"/>
      <c r="U77" s="2"/>
      <c r="V77" s="3"/>
    </row>
    <row r="78" ht="18.0" customHeight="1">
      <c r="A78" s="5" t="s">
        <v>669</v>
      </c>
      <c r="B78" s="5" t="s">
        <v>670</v>
      </c>
      <c r="C78" s="5">
        <v>76000.0</v>
      </c>
      <c r="D78" s="5" t="s">
        <v>268</v>
      </c>
      <c r="E78" s="5" t="s">
        <v>269</v>
      </c>
      <c r="F78" s="5" t="s">
        <v>671</v>
      </c>
      <c r="G78" s="5" t="s">
        <v>154</v>
      </c>
      <c r="H78" s="5" t="s">
        <v>268</v>
      </c>
      <c r="I78" s="5" t="s">
        <v>672</v>
      </c>
      <c r="J78" s="5" t="s">
        <v>673</v>
      </c>
      <c r="K78" s="7">
        <v>45532.0</v>
      </c>
      <c r="L78" s="9" t="s">
        <v>111</v>
      </c>
      <c r="M78" s="9" t="s">
        <v>60</v>
      </c>
      <c r="N78" s="9" t="s">
        <v>167</v>
      </c>
      <c r="O78" s="2"/>
      <c r="P78" s="2"/>
      <c r="Q78" s="2"/>
      <c r="R78" s="2"/>
      <c r="S78" s="2"/>
      <c r="T78" s="2"/>
      <c r="U78" s="2"/>
      <c r="V78" s="3"/>
    </row>
    <row r="79" ht="18.0" customHeight="1">
      <c r="A79" s="5" t="s">
        <v>463</v>
      </c>
      <c r="B79" s="5" t="s">
        <v>469</v>
      </c>
      <c r="C79" s="5">
        <v>53000.0</v>
      </c>
      <c r="D79" s="5" t="s">
        <v>192</v>
      </c>
      <c r="E79" s="5" t="s">
        <v>194</v>
      </c>
      <c r="F79" s="5" t="s">
        <v>674</v>
      </c>
      <c r="G79" s="5" t="s">
        <v>46</v>
      </c>
      <c r="H79" s="5" t="s">
        <v>192</v>
      </c>
      <c r="I79" s="5" t="s">
        <v>676</v>
      </c>
      <c r="J79" s="5" t="s">
        <v>677</v>
      </c>
      <c r="K79" s="7">
        <v>45045.0</v>
      </c>
      <c r="L79" s="9" t="s">
        <v>119</v>
      </c>
      <c r="M79" s="9" t="s">
        <v>60</v>
      </c>
      <c r="N79" s="9" t="s">
        <v>62</v>
      </c>
      <c r="O79" s="2"/>
      <c r="P79" s="2"/>
      <c r="Q79" s="2"/>
      <c r="R79" s="2"/>
      <c r="S79" s="2"/>
      <c r="T79" s="2"/>
      <c r="U79" s="2"/>
      <c r="V79" s="3"/>
    </row>
    <row r="80" ht="18.0" customHeight="1">
      <c r="A80" s="5" t="s">
        <v>678</v>
      </c>
      <c r="B80" s="5" t="s">
        <v>679</v>
      </c>
      <c r="C80" s="5">
        <v>18000.0</v>
      </c>
      <c r="D80" s="5" t="s">
        <v>123</v>
      </c>
      <c r="E80" s="5" t="s">
        <v>124</v>
      </c>
      <c r="F80" s="5" t="s">
        <v>680</v>
      </c>
      <c r="G80" s="5" t="s">
        <v>74</v>
      </c>
      <c r="H80" s="5" t="s">
        <v>123</v>
      </c>
      <c r="I80" s="5" t="s">
        <v>681</v>
      </c>
      <c r="J80" s="5" t="s">
        <v>682</v>
      </c>
      <c r="K80" s="7">
        <v>45121.0</v>
      </c>
      <c r="L80" s="9" t="s">
        <v>128</v>
      </c>
      <c r="M80" s="9" t="s">
        <v>60</v>
      </c>
      <c r="N80" s="9" t="s">
        <v>167</v>
      </c>
      <c r="O80" s="2"/>
      <c r="P80" s="2"/>
      <c r="Q80" s="2"/>
      <c r="R80" s="2"/>
      <c r="S80" s="2"/>
      <c r="T80" s="2"/>
      <c r="U80" s="2"/>
      <c r="V80" s="3"/>
    </row>
    <row r="81" ht="18.0" customHeight="1">
      <c r="A81" s="5" t="s">
        <v>684</v>
      </c>
      <c r="B81" s="5" t="s">
        <v>685</v>
      </c>
      <c r="C81" s="5">
        <v>90000.0</v>
      </c>
      <c r="D81" s="5" t="s">
        <v>215</v>
      </c>
      <c r="E81" s="5" t="s">
        <v>216</v>
      </c>
      <c r="F81" s="5" t="s">
        <v>686</v>
      </c>
      <c r="G81" s="5" t="s">
        <v>154</v>
      </c>
      <c r="H81" s="5" t="s">
        <v>215</v>
      </c>
      <c r="I81" s="5" t="s">
        <v>687</v>
      </c>
      <c r="J81" s="5" t="s">
        <v>688</v>
      </c>
      <c r="K81" s="7">
        <v>45055.0</v>
      </c>
      <c r="L81" s="9" t="s">
        <v>138</v>
      </c>
      <c r="M81" s="9" t="s">
        <v>60</v>
      </c>
      <c r="N81" s="9" t="s">
        <v>167</v>
      </c>
      <c r="O81" s="2"/>
      <c r="P81" s="2"/>
      <c r="Q81" s="2"/>
      <c r="R81" s="2"/>
      <c r="S81" s="2"/>
      <c r="T81" s="2"/>
      <c r="U81" s="2"/>
      <c r="V81" s="3"/>
    </row>
    <row r="82">
      <c r="F82" s="17"/>
    </row>
    <row r="83">
      <c r="F83" s="17"/>
    </row>
    <row r="84">
      <c r="F84" s="17"/>
    </row>
    <row r="85">
      <c r="F85" s="17"/>
    </row>
    <row r="86">
      <c r="F86" s="17"/>
    </row>
    <row r="87">
      <c r="F87" s="17"/>
    </row>
    <row r="88">
      <c r="F88" s="17"/>
    </row>
    <row r="89">
      <c r="F89" s="17"/>
    </row>
  </sheetData>
  <autoFilter ref="$A$1:$N$8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82C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21.0"/>
    <col customWidth="1" min="3" max="3" width="17.75"/>
    <col customWidth="1" min="4" max="4" width="21.88"/>
    <col customWidth="1" min="5" max="5" width="16.5"/>
    <col customWidth="1" min="6" max="6" width="14.63"/>
    <col customWidth="1" min="7" max="8" width="15.13"/>
    <col customWidth="1" min="9" max="9" width="15.38"/>
    <col customWidth="1" min="10" max="10" width="18.25"/>
    <col customWidth="1" min="11" max="11" width="19.0"/>
    <col customWidth="1" min="12" max="12" width="8.13"/>
    <col customWidth="1" min="13" max="13" width="7.5"/>
    <col customWidth="1" min="14" max="14" width="13.13"/>
  </cols>
  <sheetData>
    <row r="1" ht="27.0" customHeight="1">
      <c r="A1" s="1" t="s">
        <v>1</v>
      </c>
      <c r="B1" s="1" t="s">
        <v>7</v>
      </c>
      <c r="C1" s="1" t="s">
        <v>10</v>
      </c>
      <c r="D1" s="1" t="s">
        <v>14</v>
      </c>
      <c r="E1" s="1" t="s">
        <v>16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27</v>
      </c>
      <c r="N1" s="1" t="s">
        <v>28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 t="s">
        <v>43</v>
      </c>
      <c r="B2" s="5" t="s">
        <v>47</v>
      </c>
      <c r="C2" s="6">
        <v>18.0</v>
      </c>
      <c r="D2" s="8">
        <v>296.0</v>
      </c>
      <c r="E2" s="6">
        <v>1.0</v>
      </c>
      <c r="F2" s="6">
        <v>150.0</v>
      </c>
      <c r="G2" s="6">
        <v>8.0</v>
      </c>
      <c r="H2" s="6">
        <v>3.0</v>
      </c>
      <c r="I2" s="6">
        <v>8.0</v>
      </c>
      <c r="J2" s="5" t="s">
        <v>64</v>
      </c>
      <c r="K2" s="5" t="s">
        <v>66</v>
      </c>
      <c r="L2" s="10">
        <v>440500.0</v>
      </c>
      <c r="M2" s="11" t="s">
        <v>79</v>
      </c>
      <c r="N2" s="11" t="s">
        <v>60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8.0" customHeight="1">
      <c r="A3" s="5" t="s">
        <v>112</v>
      </c>
      <c r="B3" s="5" t="s">
        <v>47</v>
      </c>
      <c r="C3" s="6">
        <v>15.0</v>
      </c>
      <c r="D3" s="8">
        <v>260.0</v>
      </c>
      <c r="E3" s="6">
        <v>2.0</v>
      </c>
      <c r="F3" s="6">
        <v>323.0</v>
      </c>
      <c r="G3" s="6">
        <v>15.0</v>
      </c>
      <c r="H3" s="6">
        <v>8.0</v>
      </c>
      <c r="I3" s="6">
        <v>19.0</v>
      </c>
      <c r="J3" s="5" t="s">
        <v>116</v>
      </c>
      <c r="K3" s="5" t="s">
        <v>66</v>
      </c>
      <c r="L3" s="10">
        <v>212300.0</v>
      </c>
      <c r="M3" s="11" t="s">
        <v>79</v>
      </c>
      <c r="N3" s="11" t="s">
        <v>60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8.0" customHeight="1">
      <c r="A4" s="5" t="s">
        <v>122</v>
      </c>
      <c r="B4" s="5" t="s">
        <v>47</v>
      </c>
      <c r="C4" s="6">
        <v>18.0</v>
      </c>
      <c r="D4" s="8">
        <v>296.0</v>
      </c>
      <c r="E4" s="6">
        <v>3.0</v>
      </c>
      <c r="F4" s="6">
        <v>496.0</v>
      </c>
      <c r="G4" s="6">
        <v>22.0</v>
      </c>
      <c r="H4" s="6">
        <v>13.0</v>
      </c>
      <c r="I4" s="6">
        <v>30.0</v>
      </c>
      <c r="J4" s="5" t="s">
        <v>129</v>
      </c>
      <c r="K4" s="5" t="s">
        <v>66</v>
      </c>
      <c r="L4" s="10">
        <v>380333.0</v>
      </c>
      <c r="M4" s="11" t="s">
        <v>79</v>
      </c>
      <c r="N4" s="11" t="s">
        <v>60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8.0" customHeight="1">
      <c r="A5" s="5" t="s">
        <v>136</v>
      </c>
      <c r="B5" s="5" t="s">
        <v>47</v>
      </c>
      <c r="C5" s="6">
        <v>16.0</v>
      </c>
      <c r="D5" s="8">
        <v>272.0</v>
      </c>
      <c r="E5" s="6">
        <v>4.0</v>
      </c>
      <c r="F5" s="6">
        <v>669.0</v>
      </c>
      <c r="G5" s="6">
        <v>29.0</v>
      </c>
      <c r="H5" s="6">
        <v>18.0</v>
      </c>
      <c r="I5" s="6">
        <v>41.0</v>
      </c>
      <c r="J5" s="5" t="s">
        <v>139</v>
      </c>
      <c r="K5" s="5" t="s">
        <v>66</v>
      </c>
      <c r="L5" s="10">
        <v>763867.0</v>
      </c>
      <c r="M5" s="11" t="s">
        <v>79</v>
      </c>
      <c r="N5" s="11" t="s">
        <v>60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8.0" customHeight="1">
      <c r="A6" s="5" t="s">
        <v>147</v>
      </c>
      <c r="B6" s="5" t="s">
        <v>148</v>
      </c>
      <c r="C6" s="6">
        <v>14.0</v>
      </c>
      <c r="D6" s="8">
        <v>248.0</v>
      </c>
      <c r="E6" s="6">
        <v>5.0</v>
      </c>
      <c r="F6" s="6">
        <v>842.0</v>
      </c>
      <c r="G6" s="6">
        <v>36.0</v>
      </c>
      <c r="H6" s="6">
        <v>23.0</v>
      </c>
      <c r="I6" s="6">
        <v>52.0</v>
      </c>
      <c r="J6" s="5" t="s">
        <v>155</v>
      </c>
      <c r="K6" s="5" t="s">
        <v>157</v>
      </c>
      <c r="L6" s="10">
        <v>177429.0</v>
      </c>
      <c r="M6" s="11" t="s">
        <v>79</v>
      </c>
      <c r="N6" s="11" t="s">
        <v>60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8.0" customHeight="1">
      <c r="A7" s="5" t="s">
        <v>163</v>
      </c>
      <c r="B7" s="5" t="s">
        <v>148</v>
      </c>
      <c r="C7" s="6">
        <v>12.0</v>
      </c>
      <c r="D7" s="8">
        <v>224.0</v>
      </c>
      <c r="E7" s="6">
        <v>1.0</v>
      </c>
      <c r="F7" s="6">
        <v>1015.0</v>
      </c>
      <c r="G7" s="6">
        <v>43.0</v>
      </c>
      <c r="H7" s="6">
        <v>3.0</v>
      </c>
      <c r="I7" s="6">
        <v>13.0</v>
      </c>
      <c r="J7" s="5" t="s">
        <v>168</v>
      </c>
      <c r="K7" s="5" t="s">
        <v>157</v>
      </c>
      <c r="L7" s="10">
        <v>316571.0</v>
      </c>
      <c r="M7" s="11" t="s">
        <v>79</v>
      </c>
      <c r="N7" s="11" t="s">
        <v>60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8.0" customHeight="1">
      <c r="A8" s="5" t="s">
        <v>177</v>
      </c>
      <c r="B8" s="5" t="s">
        <v>148</v>
      </c>
      <c r="C8" s="6">
        <v>12.0</v>
      </c>
      <c r="D8" s="8">
        <v>224.0</v>
      </c>
      <c r="E8" s="6">
        <v>2.0</v>
      </c>
      <c r="F8" s="6">
        <v>1188.0</v>
      </c>
      <c r="G8" s="6">
        <v>50.0</v>
      </c>
      <c r="H8" s="6">
        <v>8.0</v>
      </c>
      <c r="I8" s="6">
        <v>24.0</v>
      </c>
      <c r="J8" s="5" t="s">
        <v>180</v>
      </c>
      <c r="K8" s="5" t="s">
        <v>157</v>
      </c>
      <c r="L8" s="10">
        <v>142333.0</v>
      </c>
      <c r="M8" s="11" t="s">
        <v>79</v>
      </c>
      <c r="N8" s="11" t="s">
        <v>60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8.0" customHeight="1">
      <c r="A9" s="5" t="s">
        <v>184</v>
      </c>
      <c r="B9" s="5" t="s">
        <v>148</v>
      </c>
      <c r="C9" s="6">
        <v>13.0</v>
      </c>
      <c r="D9" s="8">
        <v>236.0</v>
      </c>
      <c r="E9" s="6">
        <v>3.0</v>
      </c>
      <c r="F9" s="6">
        <v>1361.0</v>
      </c>
      <c r="G9" s="6">
        <v>57.0</v>
      </c>
      <c r="H9" s="6">
        <v>13.0</v>
      </c>
      <c r="I9" s="6">
        <v>35.0</v>
      </c>
      <c r="J9" s="5" t="s">
        <v>187</v>
      </c>
      <c r="K9" s="5" t="s">
        <v>157</v>
      </c>
      <c r="L9" s="10">
        <v>279125.0</v>
      </c>
      <c r="M9" s="11" t="s">
        <v>79</v>
      </c>
      <c r="N9" s="11" t="s">
        <v>60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.0" customHeight="1">
      <c r="A10" s="5" t="s">
        <v>198</v>
      </c>
      <c r="B10" s="5" t="s">
        <v>199</v>
      </c>
      <c r="C10" s="6">
        <v>19.0</v>
      </c>
      <c r="D10" s="8">
        <v>308.0</v>
      </c>
      <c r="E10" s="6">
        <v>4.0</v>
      </c>
      <c r="F10" s="6">
        <v>1534.0</v>
      </c>
      <c r="G10" s="6">
        <v>9.0</v>
      </c>
      <c r="H10" s="6">
        <v>18.0</v>
      </c>
      <c r="I10" s="6">
        <v>46.0</v>
      </c>
      <c r="J10" s="5" t="s">
        <v>205</v>
      </c>
      <c r="K10" s="5" t="s">
        <v>206</v>
      </c>
      <c r="L10" s="10">
        <v>159000.0</v>
      </c>
      <c r="M10" s="11" t="s">
        <v>79</v>
      </c>
      <c r="N10" s="11" t="s">
        <v>60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.0" customHeight="1">
      <c r="A11" s="5" t="s">
        <v>210</v>
      </c>
      <c r="B11" s="5" t="s">
        <v>199</v>
      </c>
      <c r="C11" s="6">
        <v>13.0</v>
      </c>
      <c r="D11" s="8">
        <v>236.0</v>
      </c>
      <c r="E11" s="6">
        <v>5.0</v>
      </c>
      <c r="F11" s="6">
        <v>1707.0</v>
      </c>
      <c r="G11" s="6">
        <v>16.0</v>
      </c>
      <c r="H11" s="6">
        <v>23.0</v>
      </c>
      <c r="I11" s="6">
        <v>57.0</v>
      </c>
      <c r="J11" s="5" t="s">
        <v>214</v>
      </c>
      <c r="K11" s="5" t="s">
        <v>206</v>
      </c>
      <c r="L11" s="10">
        <v>92800.0</v>
      </c>
      <c r="M11" s="11" t="s">
        <v>79</v>
      </c>
      <c r="N11" s="11" t="s">
        <v>60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8.0" customHeight="1">
      <c r="A12" s="5" t="s">
        <v>222</v>
      </c>
      <c r="B12" s="5" t="s">
        <v>199</v>
      </c>
      <c r="C12" s="6">
        <v>20.0</v>
      </c>
      <c r="D12" s="8">
        <v>320.0</v>
      </c>
      <c r="E12" s="6">
        <v>1.0</v>
      </c>
      <c r="F12" s="6">
        <v>1880.0</v>
      </c>
      <c r="G12" s="6">
        <v>23.0</v>
      </c>
      <c r="H12" s="6">
        <v>3.0</v>
      </c>
      <c r="I12" s="6">
        <v>18.0</v>
      </c>
      <c r="J12" s="5" t="s">
        <v>226</v>
      </c>
      <c r="K12" s="5" t="s">
        <v>206</v>
      </c>
      <c r="L12" s="10">
        <v>275375.0</v>
      </c>
      <c r="M12" s="11" t="s">
        <v>79</v>
      </c>
      <c r="N12" s="11" t="s">
        <v>60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8.0" customHeight="1">
      <c r="A13" s="5" t="s">
        <v>234</v>
      </c>
      <c r="B13" s="5" t="s">
        <v>199</v>
      </c>
      <c r="C13" s="6">
        <v>14.0</v>
      </c>
      <c r="D13" s="8">
        <v>248.0</v>
      </c>
      <c r="E13" s="6">
        <v>2.0</v>
      </c>
      <c r="F13" s="6">
        <v>2053.0</v>
      </c>
      <c r="G13" s="6">
        <v>30.0</v>
      </c>
      <c r="H13" s="6">
        <v>8.0</v>
      </c>
      <c r="I13" s="6">
        <v>29.0</v>
      </c>
      <c r="J13" s="5" t="s">
        <v>237</v>
      </c>
      <c r="K13" s="5" t="s">
        <v>206</v>
      </c>
      <c r="L13" s="10">
        <v>191455.0</v>
      </c>
      <c r="M13" s="11" t="s">
        <v>79</v>
      </c>
      <c r="N13" s="11" t="s">
        <v>60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8.0" customHeight="1">
      <c r="A14" s="5" t="s">
        <v>242</v>
      </c>
      <c r="B14" s="5" t="s">
        <v>244</v>
      </c>
      <c r="C14" s="6">
        <v>14.0</v>
      </c>
      <c r="D14" s="8">
        <v>248.0</v>
      </c>
      <c r="E14" s="6">
        <v>3.0</v>
      </c>
      <c r="F14" s="6">
        <v>2226.0</v>
      </c>
      <c r="G14" s="6">
        <v>37.0</v>
      </c>
      <c r="H14" s="6">
        <v>13.0</v>
      </c>
      <c r="I14" s="6">
        <v>40.0</v>
      </c>
      <c r="J14" s="5" t="s">
        <v>250</v>
      </c>
      <c r="K14" s="5" t="s">
        <v>251</v>
      </c>
      <c r="L14" s="10">
        <v>549231.0</v>
      </c>
      <c r="M14" s="11" t="s">
        <v>79</v>
      </c>
      <c r="N14" s="11" t="s">
        <v>60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8.0" customHeight="1">
      <c r="A15" s="5" t="s">
        <v>257</v>
      </c>
      <c r="B15" s="5" t="s">
        <v>244</v>
      </c>
      <c r="C15" s="6">
        <v>14.0</v>
      </c>
      <c r="D15" s="8">
        <v>248.0</v>
      </c>
      <c r="E15" s="6">
        <v>4.0</v>
      </c>
      <c r="F15" s="6">
        <v>2399.0</v>
      </c>
      <c r="G15" s="6">
        <v>44.0</v>
      </c>
      <c r="H15" s="6">
        <v>18.0</v>
      </c>
      <c r="I15" s="6">
        <v>51.0</v>
      </c>
      <c r="J15" s="5" t="s">
        <v>263</v>
      </c>
      <c r="K15" s="5" t="s">
        <v>251</v>
      </c>
      <c r="L15" s="10">
        <v>245231.0</v>
      </c>
      <c r="M15" s="11" t="s">
        <v>79</v>
      </c>
      <c r="N15" s="11" t="s">
        <v>60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.0" customHeight="1">
      <c r="A16" s="5" t="s">
        <v>271</v>
      </c>
      <c r="B16" s="5" t="s">
        <v>244</v>
      </c>
      <c r="C16" s="6">
        <v>18.0</v>
      </c>
      <c r="D16" s="8">
        <v>296.0</v>
      </c>
      <c r="E16" s="6">
        <v>5.0</v>
      </c>
      <c r="F16" s="6">
        <v>2572.0</v>
      </c>
      <c r="G16" s="6">
        <v>51.0</v>
      </c>
      <c r="H16" s="6">
        <v>23.0</v>
      </c>
      <c r="I16" s="6">
        <v>12.0</v>
      </c>
      <c r="J16" s="5" t="s">
        <v>275</v>
      </c>
      <c r="K16" s="5" t="s">
        <v>251</v>
      </c>
      <c r="L16" s="10">
        <v>174000.0</v>
      </c>
      <c r="M16" s="11" t="s">
        <v>79</v>
      </c>
      <c r="N16" s="11" t="s">
        <v>60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.0" customHeight="1">
      <c r="A17" s="5" t="s">
        <v>281</v>
      </c>
      <c r="B17" s="5" t="s">
        <v>244</v>
      </c>
      <c r="C17" s="6">
        <v>15.0</v>
      </c>
      <c r="D17" s="8">
        <v>260.0</v>
      </c>
      <c r="E17" s="6">
        <v>1.0</v>
      </c>
      <c r="F17" s="6">
        <v>2745.0</v>
      </c>
      <c r="G17" s="6">
        <v>58.0</v>
      </c>
      <c r="H17" s="6">
        <v>3.0</v>
      </c>
      <c r="I17" s="6">
        <v>23.0</v>
      </c>
      <c r="J17" s="5" t="s">
        <v>290</v>
      </c>
      <c r="K17" s="5" t="s">
        <v>251</v>
      </c>
      <c r="L17" s="10">
        <v>229273.0</v>
      </c>
      <c r="M17" s="11" t="s">
        <v>79</v>
      </c>
      <c r="N17" s="11" t="s">
        <v>60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8.0" customHeight="1">
      <c r="A18" s="5" t="s">
        <v>296</v>
      </c>
      <c r="B18" s="5" t="s">
        <v>297</v>
      </c>
      <c r="C18" s="6">
        <v>14.0</v>
      </c>
      <c r="D18" s="8">
        <v>248.0</v>
      </c>
      <c r="E18" s="6">
        <v>2.0</v>
      </c>
      <c r="F18" s="6">
        <v>2918.0</v>
      </c>
      <c r="G18" s="6">
        <v>10.0</v>
      </c>
      <c r="H18" s="6">
        <v>8.0</v>
      </c>
      <c r="I18" s="6">
        <v>34.0</v>
      </c>
      <c r="J18" s="5" t="s">
        <v>301</v>
      </c>
      <c r="K18" s="5" t="s">
        <v>302</v>
      </c>
      <c r="L18" s="10">
        <v>176400.0</v>
      </c>
      <c r="M18" s="11" t="s">
        <v>79</v>
      </c>
      <c r="N18" s="11" t="s">
        <v>60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8.0" customHeight="1">
      <c r="A19" s="5" t="s">
        <v>311</v>
      </c>
      <c r="B19" s="5" t="s">
        <v>297</v>
      </c>
      <c r="C19" s="6">
        <v>13.0</v>
      </c>
      <c r="D19" s="8">
        <v>236.0</v>
      </c>
      <c r="E19" s="6">
        <v>3.0</v>
      </c>
      <c r="F19" s="6">
        <v>3091.0</v>
      </c>
      <c r="G19" s="6">
        <v>17.0</v>
      </c>
      <c r="H19" s="6">
        <v>13.0</v>
      </c>
      <c r="I19" s="6">
        <v>45.0</v>
      </c>
      <c r="J19" s="5" t="s">
        <v>313</v>
      </c>
      <c r="K19" s="5" t="s">
        <v>302</v>
      </c>
      <c r="L19" s="10">
        <v>209111.0</v>
      </c>
      <c r="M19" s="11" t="s">
        <v>79</v>
      </c>
      <c r="N19" s="11" t="s">
        <v>60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8.0" customHeight="1">
      <c r="A20" s="5" t="s">
        <v>80</v>
      </c>
      <c r="B20" s="5" t="s">
        <v>297</v>
      </c>
      <c r="C20" s="6">
        <v>15.0</v>
      </c>
      <c r="D20" s="8">
        <v>260.0</v>
      </c>
      <c r="E20" s="6">
        <v>4.0</v>
      </c>
      <c r="F20" s="6">
        <v>3264.0</v>
      </c>
      <c r="G20" s="6">
        <v>24.0</v>
      </c>
      <c r="H20" s="6">
        <v>18.0</v>
      </c>
      <c r="I20" s="6">
        <v>56.0</v>
      </c>
      <c r="J20" s="5" t="s">
        <v>326</v>
      </c>
      <c r="K20" s="5" t="s">
        <v>302</v>
      </c>
      <c r="L20" s="10">
        <v>412500.0</v>
      </c>
      <c r="M20" s="11" t="s">
        <v>79</v>
      </c>
      <c r="N20" s="11" t="s">
        <v>60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8.0" customHeight="1">
      <c r="A21" s="5" t="s">
        <v>331</v>
      </c>
      <c r="B21" s="5" t="s">
        <v>297</v>
      </c>
      <c r="C21" s="6">
        <v>15.0</v>
      </c>
      <c r="D21" s="8">
        <v>260.0</v>
      </c>
      <c r="E21" s="6">
        <v>5.0</v>
      </c>
      <c r="F21" s="6">
        <v>3437.0</v>
      </c>
      <c r="G21" s="6">
        <v>31.0</v>
      </c>
      <c r="H21" s="6">
        <v>23.0</v>
      </c>
      <c r="I21" s="6">
        <v>17.0</v>
      </c>
      <c r="J21" s="5" t="s">
        <v>335</v>
      </c>
      <c r="K21" s="5" t="s">
        <v>302</v>
      </c>
      <c r="L21" s="10">
        <v>131100.0</v>
      </c>
      <c r="M21" s="11" t="s">
        <v>79</v>
      </c>
      <c r="N21" s="11" t="s">
        <v>60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8.0" customHeight="1">
      <c r="A22" s="5" t="s">
        <v>283</v>
      </c>
      <c r="B22" s="5" t="s">
        <v>346</v>
      </c>
      <c r="C22" s="6">
        <v>15.0</v>
      </c>
      <c r="D22" s="8">
        <v>260.0</v>
      </c>
      <c r="E22" s="6">
        <v>1.0</v>
      </c>
      <c r="F22" s="6">
        <v>3610.0</v>
      </c>
      <c r="G22" s="6">
        <v>38.0</v>
      </c>
      <c r="H22" s="6">
        <v>3.0</v>
      </c>
      <c r="I22" s="6">
        <v>28.0</v>
      </c>
      <c r="J22" s="5" t="s">
        <v>347</v>
      </c>
      <c r="K22" s="5" t="s">
        <v>350</v>
      </c>
      <c r="L22" s="10">
        <v>83222.0</v>
      </c>
      <c r="M22" s="11" t="s">
        <v>79</v>
      </c>
      <c r="N22" s="11" t="s">
        <v>60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8.0" customHeight="1">
      <c r="A23" s="5" t="s">
        <v>356</v>
      </c>
      <c r="B23" s="5" t="s">
        <v>346</v>
      </c>
      <c r="C23" s="6">
        <v>17.0</v>
      </c>
      <c r="D23" s="8">
        <v>284.0</v>
      </c>
      <c r="E23" s="6">
        <v>2.0</v>
      </c>
      <c r="F23" s="6">
        <v>3783.0</v>
      </c>
      <c r="G23" s="6">
        <v>45.0</v>
      </c>
      <c r="H23" s="6">
        <v>8.0</v>
      </c>
      <c r="I23" s="6">
        <v>39.0</v>
      </c>
      <c r="J23" s="5" t="s">
        <v>362</v>
      </c>
      <c r="K23" s="5" t="s">
        <v>350</v>
      </c>
      <c r="L23" s="10">
        <v>141769.0</v>
      </c>
      <c r="M23" s="11" t="s">
        <v>79</v>
      </c>
      <c r="N23" s="11" t="s">
        <v>60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8.0" customHeight="1">
      <c r="A24" s="5" t="s">
        <v>241</v>
      </c>
      <c r="B24" s="5" t="s">
        <v>346</v>
      </c>
      <c r="C24" s="6">
        <v>15.0</v>
      </c>
      <c r="D24" s="8">
        <v>260.0</v>
      </c>
      <c r="E24" s="6">
        <v>3.0</v>
      </c>
      <c r="F24" s="6">
        <v>3956.0</v>
      </c>
      <c r="G24" s="6">
        <v>52.0</v>
      </c>
      <c r="H24" s="6">
        <v>13.0</v>
      </c>
      <c r="I24" s="6">
        <v>50.0</v>
      </c>
      <c r="J24" s="5" t="s">
        <v>370</v>
      </c>
      <c r="K24" s="5" t="s">
        <v>350</v>
      </c>
      <c r="L24" s="10">
        <v>117818.0</v>
      </c>
      <c r="M24" s="11" t="s">
        <v>79</v>
      </c>
      <c r="N24" s="11" t="s">
        <v>60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8.0" customHeight="1">
      <c r="A25" s="5" t="s">
        <v>376</v>
      </c>
      <c r="B25" s="5" t="s">
        <v>346</v>
      </c>
      <c r="C25" s="6">
        <v>11.0</v>
      </c>
      <c r="D25" s="8">
        <v>212.0</v>
      </c>
      <c r="E25" s="6">
        <v>4.0</v>
      </c>
      <c r="F25" s="6">
        <v>4129.0</v>
      </c>
      <c r="G25" s="6">
        <v>59.0</v>
      </c>
      <c r="H25" s="6">
        <v>18.0</v>
      </c>
      <c r="I25" s="6">
        <v>11.0</v>
      </c>
      <c r="J25" s="5" t="s">
        <v>382</v>
      </c>
      <c r="K25" s="5" t="s">
        <v>350</v>
      </c>
      <c r="L25" s="10">
        <v>156706.0</v>
      </c>
      <c r="M25" s="11" t="s">
        <v>79</v>
      </c>
      <c r="N25" s="11" t="s">
        <v>60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.0" customHeight="1">
      <c r="A26" s="5" t="s">
        <v>336</v>
      </c>
      <c r="B26" s="5" t="s">
        <v>389</v>
      </c>
      <c r="C26" s="6">
        <v>20.0</v>
      </c>
      <c r="D26" s="8">
        <v>320.0</v>
      </c>
      <c r="E26" s="6">
        <v>5.0</v>
      </c>
      <c r="F26" s="6">
        <v>4302.0</v>
      </c>
      <c r="G26" s="6">
        <v>11.0</v>
      </c>
      <c r="H26" s="6">
        <v>23.0</v>
      </c>
      <c r="I26" s="6">
        <v>22.0</v>
      </c>
      <c r="J26" s="5" t="s">
        <v>392</v>
      </c>
      <c r="K26" s="5" t="s">
        <v>393</v>
      </c>
      <c r="L26" s="10">
        <v>276500.0</v>
      </c>
      <c r="M26" s="11" t="s">
        <v>79</v>
      </c>
      <c r="N26" s="11" t="s">
        <v>60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8.0" customHeight="1">
      <c r="A27" s="5" t="s">
        <v>402</v>
      </c>
      <c r="B27" s="5" t="s">
        <v>389</v>
      </c>
      <c r="C27" s="6">
        <v>18.0</v>
      </c>
      <c r="D27" s="8">
        <v>296.0</v>
      </c>
      <c r="E27" s="6">
        <v>1.0</v>
      </c>
      <c r="F27" s="6">
        <v>4475.0</v>
      </c>
      <c r="G27" s="6">
        <v>18.0</v>
      </c>
      <c r="H27" s="6">
        <v>3.0</v>
      </c>
      <c r="I27" s="6">
        <v>33.0</v>
      </c>
      <c r="J27" s="5" t="s">
        <v>408</v>
      </c>
      <c r="K27" s="5" t="s">
        <v>393</v>
      </c>
      <c r="L27" s="10">
        <v>415059.0</v>
      </c>
      <c r="M27" s="11" t="s">
        <v>79</v>
      </c>
      <c r="N27" s="11" t="s">
        <v>60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.0" customHeight="1">
      <c r="A28" s="5" t="s">
        <v>412</v>
      </c>
      <c r="B28" s="5" t="s">
        <v>389</v>
      </c>
      <c r="C28" s="6">
        <v>18.0</v>
      </c>
      <c r="D28" s="8">
        <v>296.0</v>
      </c>
      <c r="E28" s="6">
        <v>2.0</v>
      </c>
      <c r="F28" s="6">
        <v>4648.0</v>
      </c>
      <c r="G28" s="6">
        <v>25.0</v>
      </c>
      <c r="H28" s="6">
        <v>8.0</v>
      </c>
      <c r="I28" s="6">
        <v>44.0</v>
      </c>
      <c r="J28" s="5" t="s">
        <v>420</v>
      </c>
      <c r="K28" s="5" t="s">
        <v>393</v>
      </c>
      <c r="L28" s="10">
        <v>150000.0</v>
      </c>
      <c r="M28" s="11" t="s">
        <v>79</v>
      </c>
      <c r="N28" s="11" t="s">
        <v>60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8.0" customHeight="1">
      <c r="A29" s="5" t="s">
        <v>424</v>
      </c>
      <c r="B29" s="5" t="s">
        <v>389</v>
      </c>
      <c r="C29" s="6">
        <v>21.0</v>
      </c>
      <c r="D29" s="8">
        <v>332.0</v>
      </c>
      <c r="E29" s="6">
        <v>3.0</v>
      </c>
      <c r="F29" s="6">
        <v>4821.0</v>
      </c>
      <c r="G29" s="6">
        <v>32.0</v>
      </c>
      <c r="H29" s="6">
        <v>13.0</v>
      </c>
      <c r="I29" s="6">
        <v>55.0</v>
      </c>
      <c r="J29" s="5" t="s">
        <v>427</v>
      </c>
      <c r="K29" s="5" t="s">
        <v>393</v>
      </c>
      <c r="L29" s="10">
        <v>195833.0</v>
      </c>
      <c r="M29" s="11" t="s">
        <v>79</v>
      </c>
      <c r="N29" s="11" t="s">
        <v>60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8.0" customHeight="1">
      <c r="A30" s="5" t="s">
        <v>189</v>
      </c>
      <c r="B30" s="5" t="s">
        <v>434</v>
      </c>
      <c r="C30" s="6">
        <v>12.0</v>
      </c>
      <c r="D30" s="8">
        <v>224.0</v>
      </c>
      <c r="E30" s="6">
        <v>4.0</v>
      </c>
      <c r="F30" s="6">
        <v>194.0</v>
      </c>
      <c r="G30" s="6">
        <v>39.0</v>
      </c>
      <c r="H30" s="6">
        <v>18.0</v>
      </c>
      <c r="I30" s="6">
        <v>16.0</v>
      </c>
      <c r="J30" s="5" t="s">
        <v>437</v>
      </c>
      <c r="K30" s="5" t="s">
        <v>439</v>
      </c>
      <c r="L30" s="10">
        <v>344267.0</v>
      </c>
      <c r="M30" s="11" t="s">
        <v>79</v>
      </c>
      <c r="N30" s="11" t="s">
        <v>60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8.0" customHeight="1">
      <c r="A31" s="5" t="s">
        <v>264</v>
      </c>
      <c r="B31" s="5" t="s">
        <v>434</v>
      </c>
      <c r="C31" s="6">
        <v>13.0</v>
      </c>
      <c r="D31" s="8">
        <v>236.0</v>
      </c>
      <c r="E31" s="6">
        <v>5.0</v>
      </c>
      <c r="F31" s="6">
        <v>367.0</v>
      </c>
      <c r="G31" s="6">
        <v>46.0</v>
      </c>
      <c r="H31" s="6">
        <v>23.0</v>
      </c>
      <c r="I31" s="6">
        <v>27.0</v>
      </c>
      <c r="J31" s="5" t="s">
        <v>449</v>
      </c>
      <c r="K31" s="5" t="s">
        <v>439</v>
      </c>
      <c r="L31" s="10">
        <v>292286.0</v>
      </c>
      <c r="M31" s="11" t="s">
        <v>79</v>
      </c>
      <c r="N31" s="11" t="s">
        <v>60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8.0" customHeight="1">
      <c r="A32" s="5" t="s">
        <v>320</v>
      </c>
      <c r="B32" s="5" t="s">
        <v>434</v>
      </c>
      <c r="C32" s="6">
        <v>13.0</v>
      </c>
      <c r="D32" s="8">
        <v>236.0</v>
      </c>
      <c r="E32" s="6">
        <v>1.0</v>
      </c>
      <c r="F32" s="6">
        <v>540.0</v>
      </c>
      <c r="G32" s="6">
        <v>53.0</v>
      </c>
      <c r="H32" s="6">
        <v>3.0</v>
      </c>
      <c r="I32" s="6">
        <v>38.0</v>
      </c>
      <c r="J32" s="5" t="s">
        <v>458</v>
      </c>
      <c r="K32" s="5" t="s">
        <v>439</v>
      </c>
      <c r="L32" s="10">
        <v>177600.0</v>
      </c>
      <c r="M32" s="11" t="s">
        <v>79</v>
      </c>
      <c r="N32" s="11" t="s">
        <v>60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8.0" customHeight="1">
      <c r="A33" s="5" t="s">
        <v>465</v>
      </c>
      <c r="B33" s="5" t="s">
        <v>434</v>
      </c>
      <c r="C33" s="6">
        <v>18.0</v>
      </c>
      <c r="D33" s="8">
        <v>296.0</v>
      </c>
      <c r="E33" s="6">
        <v>2.0</v>
      </c>
      <c r="F33" s="6">
        <v>713.0</v>
      </c>
      <c r="G33" s="6">
        <v>60.0</v>
      </c>
      <c r="H33" s="6">
        <v>8.0</v>
      </c>
      <c r="I33" s="6">
        <v>49.0</v>
      </c>
      <c r="J33" s="5" t="s">
        <v>470</v>
      </c>
      <c r="K33" s="5" t="s">
        <v>439</v>
      </c>
      <c r="L33" s="10">
        <v>124455.0</v>
      </c>
      <c r="M33" s="11" t="s">
        <v>79</v>
      </c>
      <c r="N33" s="11" t="s">
        <v>60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8.0" customHeight="1">
      <c r="A34" s="5" t="s">
        <v>353</v>
      </c>
      <c r="B34" s="5" t="s">
        <v>476</v>
      </c>
      <c r="C34" s="6">
        <v>15.0</v>
      </c>
      <c r="D34" s="8">
        <v>260.0</v>
      </c>
      <c r="E34" s="6">
        <v>3.0</v>
      </c>
      <c r="F34" s="6">
        <v>886.0</v>
      </c>
      <c r="G34" s="6">
        <v>12.0</v>
      </c>
      <c r="H34" s="6">
        <v>13.0</v>
      </c>
      <c r="I34" s="6">
        <v>10.0</v>
      </c>
      <c r="J34" s="5" t="s">
        <v>481</v>
      </c>
      <c r="K34" s="5" t="s">
        <v>483</v>
      </c>
      <c r="L34" s="10">
        <v>123909.0</v>
      </c>
      <c r="M34" s="11" t="s">
        <v>79</v>
      </c>
      <c r="N34" s="11" t="s">
        <v>60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8.0" customHeight="1">
      <c r="A35" s="5" t="s">
        <v>489</v>
      </c>
      <c r="B35" s="5" t="s">
        <v>476</v>
      </c>
      <c r="C35" s="6">
        <v>20.0</v>
      </c>
      <c r="D35" s="8">
        <v>320.0</v>
      </c>
      <c r="E35" s="6">
        <v>4.0</v>
      </c>
      <c r="F35" s="6">
        <v>1059.0</v>
      </c>
      <c r="G35" s="6">
        <v>19.0</v>
      </c>
      <c r="H35" s="6">
        <v>18.0</v>
      </c>
      <c r="I35" s="6">
        <v>21.0</v>
      </c>
      <c r="J35" s="5" t="s">
        <v>492</v>
      </c>
      <c r="K35" s="5" t="s">
        <v>483</v>
      </c>
      <c r="L35" s="10">
        <v>91333.0</v>
      </c>
      <c r="M35" s="11" t="s">
        <v>79</v>
      </c>
      <c r="N35" s="11" t="s">
        <v>60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8.0" customHeight="1">
      <c r="A36" s="5" t="s">
        <v>496</v>
      </c>
      <c r="B36" s="5" t="s">
        <v>476</v>
      </c>
      <c r="C36" s="6">
        <v>14.0</v>
      </c>
      <c r="D36" s="8">
        <v>248.0</v>
      </c>
      <c r="E36" s="6">
        <v>5.0</v>
      </c>
      <c r="F36" s="6">
        <v>1232.0</v>
      </c>
      <c r="G36" s="6">
        <v>26.0</v>
      </c>
      <c r="H36" s="6">
        <v>23.0</v>
      </c>
      <c r="I36" s="6">
        <v>32.0</v>
      </c>
      <c r="J36" s="5" t="s">
        <v>503</v>
      </c>
      <c r="K36" s="5" t="s">
        <v>483</v>
      </c>
      <c r="L36" s="10">
        <v>211200.0</v>
      </c>
      <c r="M36" s="11" t="s">
        <v>79</v>
      </c>
      <c r="N36" s="11" t="s">
        <v>60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8.0" customHeight="1">
      <c r="A37" s="5" t="s">
        <v>507</v>
      </c>
      <c r="B37" s="5" t="s">
        <v>476</v>
      </c>
      <c r="C37" s="6">
        <v>15.0</v>
      </c>
      <c r="D37" s="8">
        <v>260.0</v>
      </c>
      <c r="E37" s="6">
        <v>1.0</v>
      </c>
      <c r="F37" s="6">
        <v>1405.0</v>
      </c>
      <c r="G37" s="6">
        <v>33.0</v>
      </c>
      <c r="H37" s="6">
        <v>3.0</v>
      </c>
      <c r="I37" s="6">
        <v>43.0</v>
      </c>
      <c r="J37" s="5" t="s">
        <v>510</v>
      </c>
      <c r="K37" s="5" t="s">
        <v>483</v>
      </c>
      <c r="L37" s="10">
        <v>183412.0</v>
      </c>
      <c r="M37" s="11" t="s">
        <v>79</v>
      </c>
      <c r="N37" s="11" t="s">
        <v>60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8.0" customHeight="1">
      <c r="A38" s="5" t="s">
        <v>517</v>
      </c>
      <c r="B38" s="5" t="s">
        <v>518</v>
      </c>
      <c r="C38" s="6">
        <v>14.0</v>
      </c>
      <c r="D38" s="8">
        <v>248.0</v>
      </c>
      <c r="E38" s="6">
        <v>2.0</v>
      </c>
      <c r="F38" s="6">
        <v>1578.0</v>
      </c>
      <c r="G38" s="6">
        <v>40.0</v>
      </c>
      <c r="H38" s="6">
        <v>8.0</v>
      </c>
      <c r="I38" s="6">
        <v>54.0</v>
      </c>
      <c r="J38" s="5" t="s">
        <v>521</v>
      </c>
      <c r="K38" s="5" t="s">
        <v>522</v>
      </c>
      <c r="L38" s="10">
        <v>120000.0</v>
      </c>
      <c r="M38" s="11" t="s">
        <v>79</v>
      </c>
      <c r="N38" s="11" t="s">
        <v>60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8.0" customHeight="1">
      <c r="A39" s="5" t="s">
        <v>527</v>
      </c>
      <c r="B39" s="5" t="s">
        <v>518</v>
      </c>
      <c r="C39" s="6">
        <v>17.0</v>
      </c>
      <c r="D39" s="8">
        <v>284.0</v>
      </c>
      <c r="E39" s="6">
        <v>3.0</v>
      </c>
      <c r="F39" s="6">
        <v>1751.0</v>
      </c>
      <c r="G39" s="6">
        <v>47.0</v>
      </c>
      <c r="H39" s="6">
        <v>13.0</v>
      </c>
      <c r="I39" s="6">
        <v>15.0</v>
      </c>
      <c r="J39" s="5" t="s">
        <v>533</v>
      </c>
      <c r="K39" s="5" t="s">
        <v>522</v>
      </c>
      <c r="L39" s="10">
        <v>152400.0</v>
      </c>
      <c r="M39" s="11" t="s">
        <v>79</v>
      </c>
      <c r="N39" s="11" t="s">
        <v>60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8.0" customHeight="1">
      <c r="A40" s="5" t="s">
        <v>175</v>
      </c>
      <c r="B40" s="5" t="s">
        <v>518</v>
      </c>
      <c r="C40" s="6">
        <v>17.0</v>
      </c>
      <c r="D40" s="8">
        <v>284.0</v>
      </c>
      <c r="E40" s="6">
        <v>4.0</v>
      </c>
      <c r="F40" s="6">
        <v>1924.0</v>
      </c>
      <c r="G40" s="6">
        <v>54.0</v>
      </c>
      <c r="H40" s="6">
        <v>18.0</v>
      </c>
      <c r="I40" s="6">
        <v>26.0</v>
      </c>
      <c r="J40" s="5" t="s">
        <v>540</v>
      </c>
      <c r="K40" s="5" t="s">
        <v>522</v>
      </c>
      <c r="L40" s="10">
        <v>134333.0</v>
      </c>
      <c r="M40" s="11" t="s">
        <v>79</v>
      </c>
      <c r="N40" s="11" t="s">
        <v>60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8.0" customHeight="1">
      <c r="A41" s="5" t="s">
        <v>545</v>
      </c>
      <c r="B41" s="5" t="s">
        <v>518</v>
      </c>
      <c r="C41" s="6">
        <v>20.0</v>
      </c>
      <c r="D41" s="8">
        <v>320.0</v>
      </c>
      <c r="E41" s="6">
        <v>5.0</v>
      </c>
      <c r="F41" s="6">
        <v>2097.0</v>
      </c>
      <c r="G41" s="6">
        <v>61.0</v>
      </c>
      <c r="H41" s="6">
        <v>23.0</v>
      </c>
      <c r="I41" s="6">
        <v>37.0</v>
      </c>
      <c r="J41" s="5" t="s">
        <v>546</v>
      </c>
      <c r="K41" s="5" t="s">
        <v>522</v>
      </c>
      <c r="L41" s="10">
        <v>254583.0</v>
      </c>
      <c r="M41" s="11" t="s">
        <v>79</v>
      </c>
      <c r="N41" s="11" t="s">
        <v>60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autoFilter ref="$A$1:$N$4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82C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2.38"/>
    <col customWidth="1" min="3" max="3" width="12.63"/>
    <col customWidth="1" min="4" max="4" width="21.0"/>
    <col customWidth="1" min="5" max="5" width="16.38"/>
    <col customWidth="1" min="6" max="6" width="23.38"/>
    <col customWidth="1" min="7" max="7" width="25.5"/>
    <col customWidth="1" min="8" max="8" width="24.88"/>
    <col customWidth="1" min="9" max="9" width="12.13"/>
    <col customWidth="1" min="10" max="10" width="17.75"/>
    <col customWidth="1" min="11" max="11" width="13.63"/>
    <col customWidth="1" min="12" max="12" width="9.0"/>
    <col customWidth="1" min="13" max="13" width="13.5"/>
    <col customWidth="1" min="14" max="14" width="10.0"/>
    <col customWidth="1" min="15" max="15" width="12.38"/>
    <col customWidth="1" min="16" max="17" width="12.25"/>
    <col customWidth="1" min="18" max="18" width="11.13"/>
    <col customWidth="1" min="19" max="19" width="10.0"/>
    <col customWidth="1" min="20" max="20" width="11.88"/>
  </cols>
  <sheetData>
    <row r="1" ht="27.0" customHeight="1">
      <c r="A1" s="1" t="s">
        <v>26</v>
      </c>
      <c r="B1" s="1" t="s">
        <v>0</v>
      </c>
      <c r="C1" s="1" t="s">
        <v>29</v>
      </c>
      <c r="D1" s="1" t="s">
        <v>31</v>
      </c>
      <c r="E1" s="1" t="s">
        <v>35</v>
      </c>
      <c r="F1" s="1" t="s">
        <v>38</v>
      </c>
      <c r="G1" s="1" t="s">
        <v>42</v>
      </c>
      <c r="H1" s="1" t="s">
        <v>52</v>
      </c>
      <c r="I1" s="1" t="s">
        <v>53</v>
      </c>
      <c r="J1" s="1" t="s">
        <v>55</v>
      </c>
      <c r="K1" s="1" t="s">
        <v>57</v>
      </c>
      <c r="L1" s="1" t="s">
        <v>8</v>
      </c>
      <c r="M1" s="1" t="s">
        <v>9</v>
      </c>
      <c r="N1" s="1" t="s">
        <v>15</v>
      </c>
      <c r="O1" s="1" t="s">
        <v>61</v>
      </c>
      <c r="P1" s="1" t="s">
        <v>63</v>
      </c>
      <c r="Q1" s="1" t="s">
        <v>65</v>
      </c>
      <c r="R1" s="1" t="s">
        <v>69</v>
      </c>
      <c r="S1" s="1" t="s">
        <v>27</v>
      </c>
      <c r="T1" s="1" t="s">
        <v>75</v>
      </c>
      <c r="U1" s="4"/>
      <c r="V1" s="4"/>
      <c r="W1" s="4"/>
      <c r="X1" s="4"/>
      <c r="Y1" s="4"/>
      <c r="Z1" s="4"/>
    </row>
    <row r="2" ht="18.0" customHeight="1">
      <c r="A2" s="5" t="s">
        <v>73</v>
      </c>
      <c r="B2" s="5" t="s">
        <v>85</v>
      </c>
      <c r="C2" s="5" t="s">
        <v>88</v>
      </c>
      <c r="D2" s="12">
        <v>45905.31335648148</v>
      </c>
      <c r="E2" s="12">
        <v>45905.396689814814</v>
      </c>
      <c r="F2" s="12">
        <v>45907.31335648148</v>
      </c>
      <c r="G2" s="12">
        <v>45911.31335648148</v>
      </c>
      <c r="H2" s="12">
        <v>45913.31335648148</v>
      </c>
      <c r="I2" s="5" t="s">
        <v>95</v>
      </c>
      <c r="J2" s="5" t="s">
        <v>100</v>
      </c>
      <c r="K2" s="5" t="s">
        <v>102</v>
      </c>
      <c r="L2" s="5" t="s">
        <v>74</v>
      </c>
      <c r="M2" s="5" t="s">
        <v>96</v>
      </c>
      <c r="N2" s="9" t="str">
        <f>IFERROR(VLOOKUP(I2,Customers!$B$2:$L$81,11,FALSE),"")</f>
        <v>EMP001</v>
      </c>
      <c r="O2" s="15">
        <f>SUMIF(OderItems!$A$2:$A$510,A2,OderItems!$L$2:$L$510)</f>
        <v>3384000</v>
      </c>
      <c r="P2" s="15">
        <f>SUMIF(OderItems!$A$2:$A$510,A2,OderItems!$G$2:$G$510)</f>
        <v>57000</v>
      </c>
      <c r="Q2" s="15">
        <f>SUMIF(OderItems!$A$2:$A$510,A2,OderItems!$K$2:$K$510)</f>
        <v>0</v>
      </c>
      <c r="R2" s="15">
        <f t="shared" ref="R2:R201" si="1">O2+P2-Q2</f>
        <v>3441000</v>
      </c>
      <c r="S2" s="16" t="s">
        <v>79</v>
      </c>
      <c r="T2" s="9" t="b">
        <f t="shared" ref="T2:T201" si="2">AND(C2="delivered",I2&lt;&gt;"",R2&gt;0)</f>
        <v>1</v>
      </c>
      <c r="U2" s="13"/>
      <c r="V2" s="13"/>
      <c r="W2" s="13"/>
      <c r="X2" s="13"/>
      <c r="Y2" s="13"/>
      <c r="Z2" s="13"/>
    </row>
    <row r="3" ht="18.0" customHeight="1">
      <c r="A3" s="5" t="s">
        <v>208</v>
      </c>
      <c r="B3" s="5" t="s">
        <v>247</v>
      </c>
      <c r="C3" s="5" t="s">
        <v>88</v>
      </c>
      <c r="D3" s="12">
        <v>46135.771516203706</v>
      </c>
      <c r="E3" s="12">
        <v>46135.854849537034</v>
      </c>
      <c r="F3" s="12">
        <v>46137.771516203706</v>
      </c>
      <c r="G3" s="12">
        <v>46141.771516203706</v>
      </c>
      <c r="H3" s="12">
        <v>46143.771516203706</v>
      </c>
      <c r="I3" s="5" t="s">
        <v>254</v>
      </c>
      <c r="J3" s="5" t="s">
        <v>100</v>
      </c>
      <c r="K3" s="5" t="s">
        <v>258</v>
      </c>
      <c r="L3" s="5" t="s">
        <v>154</v>
      </c>
      <c r="M3" s="5" t="s">
        <v>260</v>
      </c>
      <c r="N3" s="9" t="str">
        <f>IFERROR(VLOOKUP(I3,Customers!$B$2:$L$81,11,FALSE),"")</f>
        <v>EMP008</v>
      </c>
      <c r="O3" s="15">
        <f>SUMIF(OderItems!$A$2:$A$510,A3,OderItems!$L$2:$L$510)</f>
        <v>2806000</v>
      </c>
      <c r="P3" s="15">
        <f>SUMIF(OderItems!$A$2:$A$510,A3,OderItems!$G$2:$G$510)</f>
        <v>45000</v>
      </c>
      <c r="Q3" s="15">
        <f>SUMIF(OderItems!$A$2:$A$510,A3,OderItems!$K$2:$K$510)</f>
        <v>0</v>
      </c>
      <c r="R3" s="15">
        <f t="shared" si="1"/>
        <v>2851000</v>
      </c>
      <c r="S3" s="16" t="s">
        <v>79</v>
      </c>
      <c r="T3" s="9" t="b">
        <f t="shared" si="2"/>
        <v>1</v>
      </c>
      <c r="U3" s="13"/>
      <c r="V3" s="13"/>
      <c r="W3" s="13"/>
      <c r="X3" s="13"/>
      <c r="Y3" s="13"/>
      <c r="Z3" s="13"/>
    </row>
    <row r="4" ht="18.0" customHeight="1">
      <c r="A4" s="5" t="s">
        <v>282</v>
      </c>
      <c r="B4" s="5" t="s">
        <v>303</v>
      </c>
      <c r="C4" s="5" t="s">
        <v>88</v>
      </c>
      <c r="D4" s="12">
        <v>45805.419386574074</v>
      </c>
      <c r="E4" s="12">
        <v>45805.50271990741</v>
      </c>
      <c r="F4" s="12">
        <v>45807.419386574074</v>
      </c>
      <c r="G4" s="12">
        <v>45811.419386574074</v>
      </c>
      <c r="H4" s="12">
        <v>45813.419386574074</v>
      </c>
      <c r="I4" s="5" t="s">
        <v>305</v>
      </c>
      <c r="J4" s="5" t="s">
        <v>342</v>
      </c>
      <c r="K4" s="5" t="s">
        <v>344</v>
      </c>
      <c r="L4" s="5" t="s">
        <v>46</v>
      </c>
      <c r="M4" s="5" t="s">
        <v>306</v>
      </c>
      <c r="N4" s="9" t="str">
        <f>IFERROR(VLOOKUP(I4,Customers!$B$2:$L$81,11,FALSE),"")</f>
        <v>EMP002</v>
      </c>
      <c r="O4" s="15">
        <f>SUMIF(OderItems!$A$2:$A$510,A4,OderItems!$L$2:$L$510)</f>
        <v>618000</v>
      </c>
      <c r="P4" s="15">
        <f>SUMIF(OderItems!$A$2:$A$510,A4,OderItems!$G$2:$G$510)</f>
        <v>12000</v>
      </c>
      <c r="Q4" s="15">
        <f>SUMIF(OderItems!$A$2:$A$510,A4,OderItems!$K$2:$K$510)</f>
        <v>0</v>
      </c>
      <c r="R4" s="15">
        <f t="shared" si="1"/>
        <v>630000</v>
      </c>
      <c r="S4" s="16" t="s">
        <v>79</v>
      </c>
      <c r="T4" s="9" t="b">
        <f t="shared" si="2"/>
        <v>1</v>
      </c>
      <c r="U4" s="13"/>
      <c r="V4" s="13"/>
      <c r="W4" s="13"/>
      <c r="X4" s="13"/>
      <c r="Y4" s="13"/>
      <c r="Z4" s="13"/>
    </row>
    <row r="5" ht="18.0" customHeight="1">
      <c r="A5" s="5" t="s">
        <v>319</v>
      </c>
      <c r="B5" s="5" t="s">
        <v>363</v>
      </c>
      <c r="C5" s="5" t="s">
        <v>88</v>
      </c>
      <c r="D5" s="12">
        <v>46121.63862268518</v>
      </c>
      <c r="E5" s="12">
        <v>46121.72195601852</v>
      </c>
      <c r="F5" s="12">
        <v>46123.63862268518</v>
      </c>
      <c r="G5" s="12">
        <v>46127.63862268518</v>
      </c>
      <c r="H5" s="12">
        <v>46129.63862268518</v>
      </c>
      <c r="I5" s="5" t="s">
        <v>364</v>
      </c>
      <c r="J5" s="5" t="s">
        <v>404</v>
      </c>
      <c r="K5" s="5" t="s">
        <v>406</v>
      </c>
      <c r="L5" s="5" t="s">
        <v>74</v>
      </c>
      <c r="M5" s="5" t="s">
        <v>142</v>
      </c>
      <c r="N5" s="9" t="str">
        <f>IFERROR(VLOOKUP(I5,Customers!$B$2:$L$81,11,FALSE),"")</f>
        <v>EMP001</v>
      </c>
      <c r="O5" s="15">
        <f>SUMIF(OderItems!$A$2:$A$510,A5,OderItems!$L$2:$L$510)</f>
        <v>1155000</v>
      </c>
      <c r="P5" s="15">
        <f>SUMIF(OderItems!$A$2:$A$510,A5,OderItems!$G$2:$G$510)</f>
        <v>30000</v>
      </c>
      <c r="Q5" s="15">
        <f>SUMIF(OderItems!$A$2:$A$510,A5,OderItems!$K$2:$K$510)</f>
        <v>0</v>
      </c>
      <c r="R5" s="15">
        <f t="shared" si="1"/>
        <v>1185000</v>
      </c>
      <c r="S5" s="16" t="s">
        <v>79</v>
      </c>
      <c r="T5" s="9" t="b">
        <f t="shared" si="2"/>
        <v>1</v>
      </c>
      <c r="U5" s="13"/>
      <c r="V5" s="13"/>
      <c r="W5" s="13"/>
      <c r="X5" s="13"/>
      <c r="Y5" s="13"/>
      <c r="Z5" s="13"/>
    </row>
    <row r="6" ht="18.0" customHeight="1">
      <c r="A6" s="5" t="s">
        <v>366</v>
      </c>
      <c r="B6" s="5" t="s">
        <v>463</v>
      </c>
      <c r="C6" s="5" t="s">
        <v>88</v>
      </c>
      <c r="D6" s="12">
        <v>46196.925578703704</v>
      </c>
      <c r="E6" s="12">
        <v>46197.00891203704</v>
      </c>
      <c r="F6" s="12">
        <v>46198.925578703704</v>
      </c>
      <c r="G6" s="12">
        <v>46202.925578703704</v>
      </c>
      <c r="H6" s="12">
        <v>46204.925578703704</v>
      </c>
      <c r="I6" s="5" t="s">
        <v>469</v>
      </c>
      <c r="J6" s="5" t="s">
        <v>471</v>
      </c>
      <c r="K6" s="5" t="s">
        <v>258</v>
      </c>
      <c r="L6" s="5" t="s">
        <v>46</v>
      </c>
      <c r="M6" s="5" t="s">
        <v>192</v>
      </c>
      <c r="N6" s="9" t="str">
        <f>IFERROR(VLOOKUP(I6,Customers!$B$2:$L$81,11,FALSE),"")</f>
        <v>EMP006</v>
      </c>
      <c r="O6" s="15">
        <f>SUMIF(OderItems!$A$2:$A$510,A6,OderItems!$L$2:$L$510)</f>
        <v>2012000</v>
      </c>
      <c r="P6" s="15">
        <f>SUMIF(OderItems!$A$2:$A$510,A6,OderItems!$G$2:$G$510)</f>
        <v>25000</v>
      </c>
      <c r="Q6" s="15">
        <f>SUMIF(OderItems!$A$2:$A$510,A6,OderItems!$K$2:$K$510)</f>
        <v>0</v>
      </c>
      <c r="R6" s="15">
        <f t="shared" si="1"/>
        <v>2037000</v>
      </c>
      <c r="S6" s="16" t="s">
        <v>79</v>
      </c>
      <c r="T6" s="9" t="b">
        <f t="shared" si="2"/>
        <v>1</v>
      </c>
      <c r="U6" s="13"/>
      <c r="V6" s="13"/>
      <c r="W6" s="13"/>
      <c r="X6" s="13"/>
      <c r="Y6" s="13"/>
      <c r="Z6" s="13"/>
    </row>
    <row r="7" ht="18.0" customHeight="1">
      <c r="A7" s="5" t="s">
        <v>394</v>
      </c>
      <c r="B7" s="5" t="s">
        <v>519</v>
      </c>
      <c r="C7" s="5" t="s">
        <v>88</v>
      </c>
      <c r="D7" s="12">
        <v>45789.55799768519</v>
      </c>
      <c r="E7" s="12">
        <v>45789.641331018516</v>
      </c>
      <c r="F7" s="12">
        <v>45791.55799768519</v>
      </c>
      <c r="G7" s="12">
        <v>45795.55799768519</v>
      </c>
      <c r="H7" s="12">
        <v>45797.55799768519</v>
      </c>
      <c r="I7" s="5" t="s">
        <v>520</v>
      </c>
      <c r="J7" s="5" t="s">
        <v>404</v>
      </c>
      <c r="K7" s="5" t="s">
        <v>344</v>
      </c>
      <c r="L7" s="5" t="s">
        <v>46</v>
      </c>
      <c r="M7" s="5" t="s">
        <v>192</v>
      </c>
      <c r="N7" s="9" t="str">
        <f>IFERROR(VLOOKUP(I7,Customers!$B$2:$L$81,11,FALSE),"")</f>
        <v>EMP005</v>
      </c>
      <c r="O7" s="15">
        <f>SUMIF(OderItems!$A$2:$A$510,A7,OderItems!$L$2:$L$510)</f>
        <v>997000</v>
      </c>
      <c r="P7" s="15">
        <f>SUMIF(OderItems!$A$2:$A$510,A7,OderItems!$G$2:$G$510)</f>
        <v>30000</v>
      </c>
      <c r="Q7" s="15">
        <f>SUMIF(OderItems!$A$2:$A$510,A7,OderItems!$K$2:$K$510)</f>
        <v>0</v>
      </c>
      <c r="R7" s="15">
        <f t="shared" si="1"/>
        <v>1027000</v>
      </c>
      <c r="S7" s="16" t="s">
        <v>79</v>
      </c>
      <c r="T7" s="9" t="b">
        <f t="shared" si="2"/>
        <v>1</v>
      </c>
      <c r="U7" s="13"/>
      <c r="V7" s="13"/>
      <c r="W7" s="13"/>
      <c r="X7" s="13"/>
      <c r="Y7" s="13"/>
      <c r="Z7" s="13"/>
    </row>
    <row r="8" ht="18.0" customHeight="1">
      <c r="A8" s="5" t="s">
        <v>442</v>
      </c>
      <c r="B8" s="5" t="s">
        <v>428</v>
      </c>
      <c r="C8" s="5" t="s">
        <v>88</v>
      </c>
      <c r="D8" s="12">
        <v>45812.220729166664</v>
      </c>
      <c r="E8" s="12">
        <v>45812.3040625</v>
      </c>
      <c r="F8" s="12">
        <v>45814.220729166664</v>
      </c>
      <c r="G8" s="12">
        <v>45818.220729166664</v>
      </c>
      <c r="H8" s="12">
        <v>45820.220729166664</v>
      </c>
      <c r="I8" s="5" t="s">
        <v>429</v>
      </c>
      <c r="J8" s="5" t="s">
        <v>471</v>
      </c>
      <c r="K8" s="5" t="s">
        <v>344</v>
      </c>
      <c r="L8" s="5" t="s">
        <v>154</v>
      </c>
      <c r="M8" s="5" t="s">
        <v>260</v>
      </c>
      <c r="N8" s="9" t="str">
        <f>IFERROR(VLOOKUP(I8,Customers!$B$2:$L$81,11,FALSE),"")</f>
        <v>EMP001</v>
      </c>
      <c r="O8" s="15">
        <f>SUMIF(OderItems!$A$2:$A$510,A8,OderItems!$L$2:$L$510)</f>
        <v>711000</v>
      </c>
      <c r="P8" s="15">
        <f>SUMIF(OderItems!$A$2:$A$510,A8,OderItems!$G$2:$G$510)</f>
        <v>36000</v>
      </c>
      <c r="Q8" s="15">
        <f>SUMIF(OderItems!$A$2:$A$510,A8,OderItems!$K$2:$K$510)</f>
        <v>0</v>
      </c>
      <c r="R8" s="15">
        <f t="shared" si="1"/>
        <v>747000</v>
      </c>
      <c r="S8" s="16" t="s">
        <v>79</v>
      </c>
      <c r="T8" s="9" t="b">
        <f t="shared" si="2"/>
        <v>1</v>
      </c>
      <c r="U8" s="13"/>
      <c r="V8" s="13"/>
      <c r="W8" s="13"/>
      <c r="X8" s="13"/>
      <c r="Y8" s="13"/>
      <c r="Z8" s="13"/>
    </row>
    <row r="9" ht="18.0" customHeight="1">
      <c r="A9" s="5" t="s">
        <v>456</v>
      </c>
      <c r="B9" s="5" t="s">
        <v>245</v>
      </c>
      <c r="C9" s="5" t="s">
        <v>88</v>
      </c>
      <c r="D9" s="12">
        <v>45522.833969907406</v>
      </c>
      <c r="E9" s="12">
        <v>45522.91730324074</v>
      </c>
      <c r="F9" s="12">
        <v>45524.833969907406</v>
      </c>
      <c r="G9" s="12">
        <v>45528.833969907406</v>
      </c>
      <c r="H9" s="12">
        <v>45530.833969907406</v>
      </c>
      <c r="I9" s="5" t="s">
        <v>246</v>
      </c>
      <c r="J9" s="5" t="s">
        <v>404</v>
      </c>
      <c r="K9" s="5" t="s">
        <v>344</v>
      </c>
      <c r="L9" s="5" t="s">
        <v>154</v>
      </c>
      <c r="M9" s="5" t="s">
        <v>151</v>
      </c>
      <c r="N9" s="9" t="str">
        <f>IFERROR(VLOOKUP(I9,Customers!$B$2:$L$81,11,FALSE),"")</f>
        <v>EMP004</v>
      </c>
      <c r="O9" s="15">
        <f>SUMIF(OderItems!$A$2:$A$510,A9,OderItems!$L$2:$L$510)</f>
        <v>1905000</v>
      </c>
      <c r="P9" s="15">
        <f>SUMIF(OderItems!$A$2:$A$510,A9,OderItems!$G$2:$G$510)</f>
        <v>42000</v>
      </c>
      <c r="Q9" s="15">
        <f>SUMIF(OderItems!$A$2:$A$510,A9,OderItems!$K$2:$K$510)</f>
        <v>0</v>
      </c>
      <c r="R9" s="15">
        <f t="shared" si="1"/>
        <v>1947000</v>
      </c>
      <c r="S9" s="16" t="s">
        <v>79</v>
      </c>
      <c r="T9" s="9" t="b">
        <f t="shared" si="2"/>
        <v>1</v>
      </c>
      <c r="U9" s="13"/>
      <c r="V9" s="13"/>
      <c r="W9" s="13"/>
      <c r="X9" s="13"/>
      <c r="Y9" s="13"/>
      <c r="Z9" s="13"/>
    </row>
    <row r="10" ht="18.0" customHeight="1">
      <c r="A10" s="5" t="s">
        <v>526</v>
      </c>
      <c r="B10" s="5" t="s">
        <v>377</v>
      </c>
      <c r="C10" s="5" t="s">
        <v>692</v>
      </c>
      <c r="D10" s="12">
        <v>45335.87390046296</v>
      </c>
      <c r="E10" s="18"/>
      <c r="F10" s="18"/>
      <c r="G10" s="18"/>
      <c r="H10" s="12">
        <v>45343.87390046296</v>
      </c>
      <c r="I10" s="5" t="s">
        <v>378</v>
      </c>
      <c r="J10" s="5" t="s">
        <v>100</v>
      </c>
      <c r="K10" s="5" t="s">
        <v>344</v>
      </c>
      <c r="L10" s="5" t="s">
        <v>154</v>
      </c>
      <c r="M10" s="5" t="s">
        <v>379</v>
      </c>
      <c r="N10" s="9" t="str">
        <f>IFERROR(VLOOKUP(I10,Customers!$B$2:$L$81,11,FALSE),"")</f>
        <v>EMP003</v>
      </c>
      <c r="O10" s="15">
        <f>SUMIF(OderItems!$A$2:$A$510,A10,OderItems!$L$2:$L$510)</f>
        <v>1184000</v>
      </c>
      <c r="P10" s="15">
        <f>SUMIF(OderItems!$A$2:$A$510,A10,OderItems!$G$2:$G$510)</f>
        <v>50000</v>
      </c>
      <c r="Q10" s="15">
        <f>SUMIF(OderItems!$A$2:$A$510,A10,OderItems!$K$2:$K$510)</f>
        <v>0</v>
      </c>
      <c r="R10" s="15">
        <f t="shared" si="1"/>
        <v>1234000</v>
      </c>
      <c r="S10" s="16" t="s">
        <v>79</v>
      </c>
      <c r="T10" s="9" t="b">
        <f t="shared" si="2"/>
        <v>0</v>
      </c>
      <c r="U10" s="13"/>
      <c r="V10" s="13"/>
      <c r="W10" s="13"/>
      <c r="X10" s="13"/>
      <c r="Y10" s="13"/>
      <c r="Z10" s="13"/>
    </row>
    <row r="11" ht="18.0" customHeight="1">
      <c r="A11" s="5" t="s">
        <v>575</v>
      </c>
      <c r="B11" s="5" t="s">
        <v>386</v>
      </c>
      <c r="C11" s="5" t="s">
        <v>88</v>
      </c>
      <c r="D11" s="12">
        <v>45351.11082175926</v>
      </c>
      <c r="E11" s="12">
        <v>45351.19415509259</v>
      </c>
      <c r="F11" s="12">
        <v>45353.11082175926</v>
      </c>
      <c r="G11" s="12">
        <v>45357.11082175926</v>
      </c>
      <c r="H11" s="12">
        <v>45359.11082175926</v>
      </c>
      <c r="I11" s="5" t="s">
        <v>387</v>
      </c>
      <c r="J11" s="5" t="s">
        <v>404</v>
      </c>
      <c r="K11" s="5" t="s">
        <v>102</v>
      </c>
      <c r="L11" s="5" t="s">
        <v>46</v>
      </c>
      <c r="M11" s="5" t="s">
        <v>84</v>
      </c>
      <c r="N11" s="9" t="str">
        <f>IFERROR(VLOOKUP(I11,Customers!$B$2:$L$81,11,FALSE),"")</f>
        <v>EMP004</v>
      </c>
      <c r="O11" s="15">
        <f>SUMIF(OderItems!$A$2:$A$510,A11,OderItems!$L$2:$L$510)</f>
        <v>198000</v>
      </c>
      <c r="P11" s="15">
        <f>SUMIF(OderItems!$A$2:$A$510,A11,OderItems!$G$2:$G$510)</f>
        <v>12000</v>
      </c>
      <c r="Q11" s="15">
        <f>SUMIF(OderItems!$A$2:$A$510,A11,OderItems!$K$2:$K$510)</f>
        <v>0</v>
      </c>
      <c r="R11" s="15">
        <f t="shared" si="1"/>
        <v>210000</v>
      </c>
      <c r="S11" s="16" t="s">
        <v>79</v>
      </c>
      <c r="T11" s="9" t="b">
        <f t="shared" si="2"/>
        <v>1</v>
      </c>
      <c r="U11" s="13"/>
      <c r="V11" s="13"/>
      <c r="W11" s="13"/>
      <c r="X11" s="13"/>
      <c r="Y11" s="13"/>
      <c r="Z11" s="13"/>
    </row>
    <row r="12" ht="18.0" customHeight="1">
      <c r="A12" s="5" t="s">
        <v>586</v>
      </c>
      <c r="B12" s="5" t="s">
        <v>265</v>
      </c>
      <c r="C12" s="5" t="s">
        <v>88</v>
      </c>
      <c r="D12" s="12">
        <v>45784.63340277778</v>
      </c>
      <c r="E12" s="12">
        <v>45784.71673611111</v>
      </c>
      <c r="F12" s="12">
        <v>45786.63340277778</v>
      </c>
      <c r="G12" s="12">
        <v>45790.63340277778</v>
      </c>
      <c r="H12" s="12">
        <v>45792.63340277778</v>
      </c>
      <c r="I12" s="5" t="s">
        <v>267</v>
      </c>
      <c r="J12" s="5" t="s">
        <v>100</v>
      </c>
      <c r="K12" s="5" t="s">
        <v>102</v>
      </c>
      <c r="L12" s="5" t="s">
        <v>154</v>
      </c>
      <c r="M12" s="5" t="s">
        <v>268</v>
      </c>
      <c r="N12" s="9" t="str">
        <f>IFERROR(VLOOKUP(I12,Customers!$B$2:$L$81,11,FALSE),"")</f>
        <v>EMP006</v>
      </c>
      <c r="O12" s="15">
        <f>SUMIF(OderItems!$A$2:$A$510,A12,OderItems!$L$2:$L$510)</f>
        <v>742000</v>
      </c>
      <c r="P12" s="15">
        <f>SUMIF(OderItems!$A$2:$A$510,A12,OderItems!$G$2:$G$510)</f>
        <v>9000</v>
      </c>
      <c r="Q12" s="15">
        <f>SUMIF(OderItems!$A$2:$A$510,A12,OderItems!$K$2:$K$510)</f>
        <v>0</v>
      </c>
      <c r="R12" s="15">
        <f t="shared" si="1"/>
        <v>751000</v>
      </c>
      <c r="S12" s="16" t="s">
        <v>79</v>
      </c>
      <c r="T12" s="9" t="b">
        <f t="shared" si="2"/>
        <v>1</v>
      </c>
      <c r="U12" s="13"/>
      <c r="V12" s="13"/>
      <c r="W12" s="13"/>
      <c r="X12" s="13"/>
      <c r="Y12" s="13"/>
      <c r="Z12" s="13"/>
    </row>
    <row r="13" ht="18.0" customHeight="1">
      <c r="A13" s="5" t="s">
        <v>613</v>
      </c>
      <c r="B13" s="5" t="s">
        <v>466</v>
      </c>
      <c r="C13" s="5" t="s">
        <v>88</v>
      </c>
      <c r="D13" s="12">
        <v>45376.16028935185</v>
      </c>
      <c r="E13" s="12">
        <v>45376.243622685186</v>
      </c>
      <c r="F13" s="12">
        <v>45378.16028935185</v>
      </c>
      <c r="G13" s="12">
        <v>45382.16028935185</v>
      </c>
      <c r="H13" s="12">
        <v>45384.16028935185</v>
      </c>
      <c r="I13" s="5" t="s">
        <v>467</v>
      </c>
      <c r="J13" s="5" t="s">
        <v>342</v>
      </c>
      <c r="K13" s="5" t="s">
        <v>102</v>
      </c>
      <c r="L13" s="5" t="s">
        <v>154</v>
      </c>
      <c r="M13" s="5" t="s">
        <v>151</v>
      </c>
      <c r="N13" s="9" t="str">
        <f>IFERROR(VLOOKUP(I13,Customers!$B$2:$L$81,11,FALSE),"")</f>
        <v>EMP006</v>
      </c>
      <c r="O13" s="15">
        <f>SUMIF(OderItems!$A$2:$A$510,A13,OderItems!$L$2:$L$510)</f>
        <v>1841000</v>
      </c>
      <c r="P13" s="15">
        <f>SUMIF(OderItems!$A$2:$A$510,A13,OderItems!$G$2:$G$510)</f>
        <v>27000</v>
      </c>
      <c r="Q13" s="15">
        <f>SUMIF(OderItems!$A$2:$A$510,A13,OderItems!$K$2:$K$510)</f>
        <v>0</v>
      </c>
      <c r="R13" s="15">
        <f t="shared" si="1"/>
        <v>1868000</v>
      </c>
      <c r="S13" s="16" t="s">
        <v>79</v>
      </c>
      <c r="T13" s="9" t="b">
        <f t="shared" si="2"/>
        <v>1</v>
      </c>
      <c r="U13" s="13"/>
      <c r="V13" s="13"/>
      <c r="W13" s="13"/>
      <c r="X13" s="13"/>
      <c r="Y13" s="13"/>
      <c r="Z13" s="13"/>
    </row>
    <row r="14" ht="18.0" customHeight="1">
      <c r="A14" s="5" t="s">
        <v>630</v>
      </c>
      <c r="B14" s="5" t="s">
        <v>564</v>
      </c>
      <c r="C14" s="5" t="s">
        <v>692</v>
      </c>
      <c r="D14" s="12">
        <v>45614.794224537036</v>
      </c>
      <c r="E14" s="18"/>
      <c r="F14" s="18"/>
      <c r="G14" s="18"/>
      <c r="H14" s="12">
        <v>45622.794224537036</v>
      </c>
      <c r="I14" s="5" t="s">
        <v>566</v>
      </c>
      <c r="J14" s="5" t="s">
        <v>100</v>
      </c>
      <c r="K14" s="5" t="s">
        <v>102</v>
      </c>
      <c r="L14" s="5" t="s">
        <v>74</v>
      </c>
      <c r="M14" s="5" t="s">
        <v>96</v>
      </c>
      <c r="N14" s="9" t="str">
        <f>IFERROR(VLOOKUP(I14,Customers!$B$2:$L$81,11,FALSE),"")</f>
        <v>EMP004</v>
      </c>
      <c r="O14" s="15">
        <f>SUMIF(OderItems!$A$2:$A$510,A14,OderItems!$L$2:$L$510)</f>
        <v>1441000</v>
      </c>
      <c r="P14" s="15">
        <f>SUMIF(OderItems!$A$2:$A$510,A14,OderItems!$G$2:$G$510)</f>
        <v>18000</v>
      </c>
      <c r="Q14" s="15">
        <f>SUMIF(OderItems!$A$2:$A$510,A14,OderItems!$K$2:$K$510)</f>
        <v>0</v>
      </c>
      <c r="R14" s="15">
        <f t="shared" si="1"/>
        <v>1459000</v>
      </c>
      <c r="S14" s="16" t="s">
        <v>79</v>
      </c>
      <c r="T14" s="9" t="b">
        <f t="shared" si="2"/>
        <v>0</v>
      </c>
      <c r="U14" s="13"/>
      <c r="V14" s="13"/>
      <c r="W14" s="13"/>
      <c r="X14" s="13"/>
      <c r="Y14" s="13"/>
      <c r="Z14" s="13"/>
    </row>
    <row r="15" ht="18.0" customHeight="1">
      <c r="A15" s="5" t="s">
        <v>656</v>
      </c>
      <c r="B15" s="5" t="s">
        <v>113</v>
      </c>
      <c r="C15" s="5" t="s">
        <v>88</v>
      </c>
      <c r="D15" s="12">
        <v>45750.178611111114</v>
      </c>
      <c r="E15" s="12">
        <v>45750.26194444444</v>
      </c>
      <c r="F15" s="12">
        <v>45752.178611111114</v>
      </c>
      <c r="G15" s="12">
        <v>45756.178611111114</v>
      </c>
      <c r="H15" s="12">
        <v>45758.178611111114</v>
      </c>
      <c r="I15" s="5" t="s">
        <v>114</v>
      </c>
      <c r="J15" s="5" t="s">
        <v>342</v>
      </c>
      <c r="K15" s="5" t="s">
        <v>102</v>
      </c>
      <c r="L15" s="5" t="s">
        <v>74</v>
      </c>
      <c r="M15" s="5" t="s">
        <v>96</v>
      </c>
      <c r="N15" s="9" t="str">
        <f>IFERROR(VLOOKUP(I15,Customers!$B$2:$L$81,11,FALSE),"")</f>
        <v>EMP006</v>
      </c>
      <c r="O15" s="15">
        <f>SUMIF(OderItems!$A$2:$A$510,A15,OderItems!$L$2:$L$510)</f>
        <v>270000</v>
      </c>
      <c r="P15" s="15">
        <f>SUMIF(OderItems!$A$2:$A$510,A15,OderItems!$G$2:$G$510)</f>
        <v>8000</v>
      </c>
      <c r="Q15" s="15">
        <f>SUMIF(OderItems!$A$2:$A$510,A15,OderItems!$K$2:$K$510)</f>
        <v>0</v>
      </c>
      <c r="R15" s="15">
        <f t="shared" si="1"/>
        <v>278000</v>
      </c>
      <c r="S15" s="16" t="s">
        <v>79</v>
      </c>
      <c r="T15" s="9" t="b">
        <f t="shared" si="2"/>
        <v>1</v>
      </c>
      <c r="U15" s="13"/>
      <c r="V15" s="13"/>
      <c r="W15" s="13"/>
      <c r="X15" s="13"/>
      <c r="Y15" s="13"/>
      <c r="Z15" s="13"/>
    </row>
    <row r="16" ht="18.0" customHeight="1">
      <c r="A16" s="5" t="s">
        <v>664</v>
      </c>
      <c r="B16" s="5" t="s">
        <v>457</v>
      </c>
      <c r="C16" s="5" t="s">
        <v>88</v>
      </c>
      <c r="D16" s="12">
        <v>45785.098645833335</v>
      </c>
      <c r="E16" s="12">
        <v>45785.181979166664</v>
      </c>
      <c r="F16" s="12">
        <v>45787.098645833335</v>
      </c>
      <c r="G16" s="12">
        <v>45791.098645833335</v>
      </c>
      <c r="H16" s="12">
        <v>45793.098645833335</v>
      </c>
      <c r="I16" s="5" t="s">
        <v>459</v>
      </c>
      <c r="J16" s="5" t="s">
        <v>100</v>
      </c>
      <c r="K16" s="5" t="s">
        <v>344</v>
      </c>
      <c r="L16" s="5" t="s">
        <v>74</v>
      </c>
      <c r="M16" s="5" t="s">
        <v>96</v>
      </c>
      <c r="N16" s="9" t="str">
        <f>IFERROR(VLOOKUP(I16,Customers!$B$2:$L$81,11,FALSE),"")</f>
        <v>EMP005</v>
      </c>
      <c r="O16" s="15">
        <f>SUMIF(OderItems!$A$2:$A$510,A16,OderItems!$L$2:$L$510)</f>
        <v>1186000</v>
      </c>
      <c r="P16" s="15">
        <f>SUMIF(OderItems!$A$2:$A$510,A16,OderItems!$G$2:$G$510)</f>
        <v>25000</v>
      </c>
      <c r="Q16" s="15">
        <f>SUMIF(OderItems!$A$2:$A$510,A16,OderItems!$K$2:$K$510)</f>
        <v>0</v>
      </c>
      <c r="R16" s="15">
        <f t="shared" si="1"/>
        <v>1211000</v>
      </c>
      <c r="S16" s="16" t="s">
        <v>79</v>
      </c>
      <c r="T16" s="9" t="b">
        <f t="shared" si="2"/>
        <v>1</v>
      </c>
      <c r="U16" s="13"/>
      <c r="V16" s="13"/>
      <c r="W16" s="13"/>
      <c r="X16" s="13"/>
      <c r="Y16" s="13"/>
      <c r="Z16" s="13"/>
    </row>
    <row r="17" ht="18.0" customHeight="1">
      <c r="A17" s="5" t="s">
        <v>689</v>
      </c>
      <c r="B17" s="5" t="s">
        <v>265</v>
      </c>
      <c r="C17" s="5" t="s">
        <v>88</v>
      </c>
      <c r="D17" s="12">
        <v>45315.59243055555</v>
      </c>
      <c r="E17" s="12">
        <v>45315.67576388889</v>
      </c>
      <c r="F17" s="12">
        <v>45317.59243055555</v>
      </c>
      <c r="G17" s="12">
        <v>45321.59243055555</v>
      </c>
      <c r="H17" s="12">
        <v>45323.59243055555</v>
      </c>
      <c r="I17" s="5" t="s">
        <v>267</v>
      </c>
      <c r="J17" s="5" t="s">
        <v>342</v>
      </c>
      <c r="K17" s="5" t="s">
        <v>406</v>
      </c>
      <c r="L17" s="5" t="s">
        <v>154</v>
      </c>
      <c r="M17" s="5" t="s">
        <v>268</v>
      </c>
      <c r="N17" s="9" t="str">
        <f>IFERROR(VLOOKUP(I17,Customers!$B$2:$L$81,11,FALSE),"")</f>
        <v>EMP006</v>
      </c>
      <c r="O17" s="15">
        <f>SUMIF(OderItems!$A$2:$A$510,A17,OderItems!$L$2:$L$510)</f>
        <v>2404000</v>
      </c>
      <c r="P17" s="15">
        <f>SUMIF(OderItems!$A$2:$A$510,A17,OderItems!$G$2:$G$510)</f>
        <v>57000</v>
      </c>
      <c r="Q17" s="15">
        <f>SUMIF(OderItems!$A$2:$A$510,A17,OderItems!$K$2:$K$510)</f>
        <v>0</v>
      </c>
      <c r="R17" s="15">
        <f t="shared" si="1"/>
        <v>2461000</v>
      </c>
      <c r="S17" s="16" t="s">
        <v>79</v>
      </c>
      <c r="T17" s="9" t="b">
        <f t="shared" si="2"/>
        <v>1</v>
      </c>
      <c r="U17" s="13"/>
      <c r="V17" s="13"/>
      <c r="W17" s="13"/>
      <c r="X17" s="13"/>
      <c r="Y17" s="13"/>
      <c r="Z17" s="13"/>
    </row>
    <row r="18" ht="18.0" customHeight="1">
      <c r="A18" s="5" t="s">
        <v>696</v>
      </c>
      <c r="B18" s="5" t="s">
        <v>255</v>
      </c>
      <c r="C18" s="5" t="s">
        <v>751</v>
      </c>
      <c r="D18" s="12">
        <v>46128.97934027778</v>
      </c>
      <c r="E18" s="12">
        <v>46129.06267361111</v>
      </c>
      <c r="F18" s="18"/>
      <c r="G18" s="18"/>
      <c r="H18" s="12">
        <v>46136.97934027778</v>
      </c>
      <c r="I18" s="5" t="s">
        <v>256</v>
      </c>
      <c r="J18" s="5" t="s">
        <v>404</v>
      </c>
      <c r="K18" s="5" t="s">
        <v>406</v>
      </c>
      <c r="L18" s="5" t="s">
        <v>154</v>
      </c>
      <c r="M18" s="5" t="s">
        <v>215</v>
      </c>
      <c r="N18" s="9" t="str">
        <f>IFERROR(VLOOKUP(I18,Customers!$B$2:$L$81,11,FALSE),"")</f>
        <v>EMP005</v>
      </c>
      <c r="O18" s="15">
        <f>SUMIF(OderItems!$A$2:$A$510,A18,OderItems!$L$2:$L$510)</f>
        <v>3528000</v>
      </c>
      <c r="P18" s="15">
        <f>SUMIF(OderItems!$A$2:$A$510,A18,OderItems!$G$2:$G$510)</f>
        <v>31000</v>
      </c>
      <c r="Q18" s="15">
        <f>SUMIF(OderItems!$A$2:$A$510,A18,OderItems!$K$2:$K$510)</f>
        <v>0</v>
      </c>
      <c r="R18" s="15">
        <f t="shared" si="1"/>
        <v>3559000</v>
      </c>
      <c r="S18" s="16" t="s">
        <v>79</v>
      </c>
      <c r="T18" s="9" t="b">
        <f t="shared" si="2"/>
        <v>0</v>
      </c>
      <c r="U18" s="13"/>
      <c r="V18" s="13"/>
      <c r="W18" s="13"/>
      <c r="X18" s="13"/>
      <c r="Y18" s="13"/>
      <c r="Z18" s="13"/>
    </row>
    <row r="19" ht="18.0" customHeight="1">
      <c r="A19" s="5" t="s">
        <v>699</v>
      </c>
      <c r="B19" s="5" t="s">
        <v>363</v>
      </c>
      <c r="C19" s="5" t="s">
        <v>759</v>
      </c>
      <c r="D19" s="12">
        <v>45396.03335648148</v>
      </c>
      <c r="E19" s="12">
        <v>45396.116689814815</v>
      </c>
      <c r="F19" s="12">
        <v>45398.03335648148</v>
      </c>
      <c r="G19" s="12">
        <v>45402.03335648148</v>
      </c>
      <c r="H19" s="12">
        <v>45404.03335648148</v>
      </c>
      <c r="I19" s="5" t="s">
        <v>364</v>
      </c>
      <c r="J19" s="5" t="s">
        <v>404</v>
      </c>
      <c r="K19" s="5" t="s">
        <v>258</v>
      </c>
      <c r="L19" s="5" t="s">
        <v>74</v>
      </c>
      <c r="M19" s="5" t="s">
        <v>142</v>
      </c>
      <c r="N19" s="9" t="str">
        <f>IFERROR(VLOOKUP(I19,Customers!$B$2:$L$81,11,FALSE),"")</f>
        <v>EMP001</v>
      </c>
      <c r="O19" s="15">
        <f>SUMIF(OderItems!$A$2:$A$510,A19,OderItems!$L$2:$L$510)</f>
        <v>1075000</v>
      </c>
      <c r="P19" s="15">
        <f>SUMIF(OderItems!$A$2:$A$510,A19,OderItems!$G$2:$G$510)</f>
        <v>19000</v>
      </c>
      <c r="Q19" s="15">
        <f>SUMIF(OderItems!$A$2:$A$510,A19,OderItems!$K$2:$K$510)</f>
        <v>0</v>
      </c>
      <c r="R19" s="15">
        <f t="shared" si="1"/>
        <v>1094000</v>
      </c>
      <c r="S19" s="16" t="s">
        <v>79</v>
      </c>
      <c r="T19" s="9" t="b">
        <f t="shared" si="2"/>
        <v>0</v>
      </c>
      <c r="U19" s="13"/>
      <c r="V19" s="13"/>
      <c r="W19" s="13"/>
      <c r="X19" s="13"/>
      <c r="Y19" s="13"/>
      <c r="Z19" s="13"/>
    </row>
    <row r="20" ht="18.0" customHeight="1">
      <c r="A20" s="5" t="s">
        <v>703</v>
      </c>
      <c r="B20" s="5" t="s">
        <v>255</v>
      </c>
      <c r="C20" s="5" t="s">
        <v>692</v>
      </c>
      <c r="D20" s="12">
        <v>45767.12017361111</v>
      </c>
      <c r="E20" s="18"/>
      <c r="F20" s="18"/>
      <c r="G20" s="18"/>
      <c r="H20" s="12">
        <v>45775.12017361111</v>
      </c>
      <c r="I20" s="5" t="s">
        <v>256</v>
      </c>
      <c r="J20" s="5" t="s">
        <v>100</v>
      </c>
      <c r="K20" s="5" t="s">
        <v>344</v>
      </c>
      <c r="L20" s="5" t="s">
        <v>154</v>
      </c>
      <c r="M20" s="5" t="s">
        <v>215</v>
      </c>
      <c r="N20" s="9" t="str">
        <f>IFERROR(VLOOKUP(I20,Customers!$B$2:$L$81,11,FALSE),"")</f>
        <v>EMP005</v>
      </c>
      <c r="O20" s="15">
        <f>SUMIF(OderItems!$A$2:$A$510,A20,OderItems!$L$2:$L$510)</f>
        <v>1439000</v>
      </c>
      <c r="P20" s="15">
        <f>SUMIF(OderItems!$A$2:$A$510,A20,OderItems!$G$2:$G$510)</f>
        <v>38000</v>
      </c>
      <c r="Q20" s="15">
        <f>SUMIF(OderItems!$A$2:$A$510,A20,OderItems!$K$2:$K$510)</f>
        <v>0</v>
      </c>
      <c r="R20" s="15">
        <f t="shared" si="1"/>
        <v>1477000</v>
      </c>
      <c r="S20" s="16" t="s">
        <v>79</v>
      </c>
      <c r="T20" s="9" t="b">
        <f t="shared" si="2"/>
        <v>0</v>
      </c>
      <c r="U20" s="13"/>
      <c r="V20" s="13"/>
      <c r="W20" s="13"/>
      <c r="X20" s="13"/>
      <c r="Y20" s="13"/>
      <c r="Z20" s="13"/>
    </row>
    <row r="21" ht="18.0" customHeight="1">
      <c r="A21" s="5" t="s">
        <v>709</v>
      </c>
      <c r="B21" s="5" t="s">
        <v>220</v>
      </c>
      <c r="C21" s="5" t="s">
        <v>88</v>
      </c>
      <c r="D21" s="12">
        <v>45784.58846064815</v>
      </c>
      <c r="E21" s="12">
        <v>45784.671793981484</v>
      </c>
      <c r="F21" s="12">
        <v>45786.58846064815</v>
      </c>
      <c r="G21" s="12">
        <v>45790.58846064815</v>
      </c>
      <c r="H21" s="12">
        <v>45792.58846064815</v>
      </c>
      <c r="I21" s="5" t="s">
        <v>221</v>
      </c>
      <c r="J21" s="5" t="s">
        <v>471</v>
      </c>
      <c r="K21" s="5" t="s">
        <v>406</v>
      </c>
      <c r="L21" s="5" t="s">
        <v>154</v>
      </c>
      <c r="M21" s="5" t="s">
        <v>151</v>
      </c>
      <c r="N21" s="9" t="str">
        <f>IFERROR(VLOOKUP(I21,Customers!$B$2:$L$81,11,FALSE),"")</f>
        <v>EMP001</v>
      </c>
      <c r="O21" s="15">
        <f>SUMIF(OderItems!$A$2:$A$510,A21,OderItems!$L$2:$L$510)</f>
        <v>770000</v>
      </c>
      <c r="P21" s="15">
        <f>SUMIF(OderItems!$A$2:$A$510,A21,OderItems!$G$2:$G$510)</f>
        <v>17000</v>
      </c>
      <c r="Q21" s="15">
        <f>SUMIF(OderItems!$A$2:$A$510,A21,OderItems!$K$2:$K$510)</f>
        <v>0</v>
      </c>
      <c r="R21" s="15">
        <f t="shared" si="1"/>
        <v>787000</v>
      </c>
      <c r="S21" s="16" t="s">
        <v>79</v>
      </c>
      <c r="T21" s="9" t="b">
        <f t="shared" si="2"/>
        <v>1</v>
      </c>
      <c r="U21" s="13"/>
      <c r="V21" s="13"/>
      <c r="W21" s="13"/>
      <c r="X21" s="13"/>
      <c r="Y21" s="13"/>
      <c r="Z21" s="13"/>
    </row>
    <row r="22" ht="18.0" customHeight="1">
      <c r="A22" s="5" t="s">
        <v>712</v>
      </c>
      <c r="B22" s="5" t="s">
        <v>564</v>
      </c>
      <c r="C22" s="5" t="s">
        <v>88</v>
      </c>
      <c r="D22" s="12">
        <v>46190.64072916667</v>
      </c>
      <c r="E22" s="12">
        <v>46190.7240625</v>
      </c>
      <c r="F22" s="12">
        <v>46192.64072916667</v>
      </c>
      <c r="G22" s="12">
        <v>46196.64072916667</v>
      </c>
      <c r="H22" s="12">
        <v>46198.64072916667</v>
      </c>
      <c r="I22" s="5" t="s">
        <v>566</v>
      </c>
      <c r="J22" s="5" t="s">
        <v>100</v>
      </c>
      <c r="K22" s="5" t="s">
        <v>344</v>
      </c>
      <c r="L22" s="5" t="s">
        <v>74</v>
      </c>
      <c r="M22" s="5" t="s">
        <v>96</v>
      </c>
      <c r="N22" s="9" t="str">
        <f>IFERROR(VLOOKUP(I22,Customers!$B$2:$L$81,11,FALSE),"")</f>
        <v>EMP004</v>
      </c>
      <c r="O22" s="15">
        <f>SUMIF(OderItems!$A$2:$A$510,A22,OderItems!$L$2:$L$510)</f>
        <v>580000</v>
      </c>
      <c r="P22" s="15">
        <f>SUMIF(OderItems!$A$2:$A$510,A22,OderItems!$G$2:$G$510)</f>
        <v>12000</v>
      </c>
      <c r="Q22" s="15">
        <f>SUMIF(OderItems!$A$2:$A$510,A22,OderItems!$K$2:$K$510)</f>
        <v>0</v>
      </c>
      <c r="R22" s="15">
        <f t="shared" si="1"/>
        <v>592000</v>
      </c>
      <c r="S22" s="16" t="s">
        <v>79</v>
      </c>
      <c r="T22" s="9" t="b">
        <f t="shared" si="2"/>
        <v>1</v>
      </c>
      <c r="U22" s="13"/>
      <c r="V22" s="13"/>
      <c r="W22" s="13"/>
      <c r="X22" s="13"/>
      <c r="Y22" s="13"/>
      <c r="Z22" s="13"/>
    </row>
    <row r="23" ht="18.0" customHeight="1">
      <c r="A23" s="5" t="s">
        <v>714</v>
      </c>
      <c r="B23" s="5" t="s">
        <v>498</v>
      </c>
      <c r="C23" s="5" t="s">
        <v>88</v>
      </c>
      <c r="D23" s="12">
        <v>45767.052708333336</v>
      </c>
      <c r="E23" s="12">
        <v>45767.136041666665</v>
      </c>
      <c r="F23" s="12">
        <v>45769.052708333336</v>
      </c>
      <c r="G23" s="12">
        <v>45773.052708333336</v>
      </c>
      <c r="H23" s="12">
        <v>45775.052708333336</v>
      </c>
      <c r="I23" s="5" t="s">
        <v>499</v>
      </c>
      <c r="J23" s="5" t="s">
        <v>471</v>
      </c>
      <c r="K23" s="5" t="s">
        <v>406</v>
      </c>
      <c r="L23" s="5" t="s">
        <v>154</v>
      </c>
      <c r="M23" s="5" t="s">
        <v>215</v>
      </c>
      <c r="N23" s="9" t="str">
        <f>IFERROR(VLOOKUP(I23,Customers!$B$2:$L$81,11,FALSE),"")</f>
        <v>EMP002</v>
      </c>
      <c r="O23" s="15">
        <f>SUMIF(OderItems!$A$2:$A$510,A23,OderItems!$L$2:$L$510)</f>
        <v>500000</v>
      </c>
      <c r="P23" s="15">
        <f>SUMIF(OderItems!$A$2:$A$510,A23,OderItems!$G$2:$G$510)</f>
        <v>13000</v>
      </c>
      <c r="Q23" s="15">
        <f>SUMIF(OderItems!$A$2:$A$510,A23,OderItems!$K$2:$K$510)</f>
        <v>0</v>
      </c>
      <c r="R23" s="15">
        <f t="shared" si="1"/>
        <v>513000</v>
      </c>
      <c r="S23" s="16" t="s">
        <v>79</v>
      </c>
      <c r="T23" s="9" t="b">
        <f t="shared" si="2"/>
        <v>1</v>
      </c>
      <c r="U23" s="13"/>
      <c r="V23" s="13"/>
      <c r="W23" s="13"/>
      <c r="X23" s="13"/>
      <c r="Y23" s="13"/>
      <c r="Z23" s="13"/>
    </row>
    <row r="24" ht="18.0" customHeight="1">
      <c r="A24" s="5" t="s">
        <v>717</v>
      </c>
      <c r="B24" s="5" t="s">
        <v>181</v>
      </c>
      <c r="C24" s="5" t="s">
        <v>88</v>
      </c>
      <c r="D24" s="12">
        <v>45794.69143518519</v>
      </c>
      <c r="E24" s="12">
        <v>45794.77476851852</v>
      </c>
      <c r="F24" s="12">
        <v>45796.69143518519</v>
      </c>
      <c r="G24" s="12">
        <v>45800.69143518519</v>
      </c>
      <c r="H24" s="12">
        <v>45802.69143518519</v>
      </c>
      <c r="I24" s="5" t="s">
        <v>182</v>
      </c>
      <c r="J24" s="5" t="s">
        <v>471</v>
      </c>
      <c r="K24" s="5" t="s">
        <v>102</v>
      </c>
      <c r="L24" s="5" t="s">
        <v>46</v>
      </c>
      <c r="M24" s="5" t="s">
        <v>39</v>
      </c>
      <c r="N24" s="9" t="str">
        <f>IFERROR(VLOOKUP(I24,Customers!$B$2:$L$81,11,FALSE),"")</f>
        <v>EMP005</v>
      </c>
      <c r="O24" s="15">
        <f>SUMIF(OderItems!$A$2:$A$510,A24,OderItems!$L$2:$L$510)</f>
        <v>3849000</v>
      </c>
      <c r="P24" s="15">
        <f>SUMIF(OderItems!$A$2:$A$510,A24,OderItems!$G$2:$G$510)</f>
        <v>76000</v>
      </c>
      <c r="Q24" s="15">
        <f>SUMIF(OderItems!$A$2:$A$510,A24,OderItems!$K$2:$K$510)</f>
        <v>0</v>
      </c>
      <c r="R24" s="15">
        <f t="shared" si="1"/>
        <v>3925000</v>
      </c>
      <c r="S24" s="16" t="s">
        <v>79</v>
      </c>
      <c r="T24" s="9" t="b">
        <f t="shared" si="2"/>
        <v>1</v>
      </c>
      <c r="U24" s="13"/>
      <c r="V24" s="13"/>
      <c r="W24" s="13"/>
      <c r="X24" s="13"/>
      <c r="Y24" s="13"/>
      <c r="Z24" s="13"/>
    </row>
    <row r="25" ht="18.0" customHeight="1">
      <c r="A25" s="5" t="s">
        <v>722</v>
      </c>
      <c r="B25" s="5" t="s">
        <v>357</v>
      </c>
      <c r="C25" s="5" t="s">
        <v>692</v>
      </c>
      <c r="D25" s="12">
        <v>46062.11570601852</v>
      </c>
      <c r="E25" s="18"/>
      <c r="F25" s="18"/>
      <c r="G25" s="18"/>
      <c r="H25" s="12">
        <v>46070.11570601852</v>
      </c>
      <c r="I25" s="5" t="s">
        <v>358</v>
      </c>
      <c r="J25" s="5" t="s">
        <v>404</v>
      </c>
      <c r="K25" s="5" t="s">
        <v>406</v>
      </c>
      <c r="L25" s="5" t="s">
        <v>154</v>
      </c>
      <c r="M25" s="5" t="s">
        <v>151</v>
      </c>
      <c r="N25" s="9" t="str">
        <f>IFERROR(VLOOKUP(I25,Customers!$B$2:$L$81,11,FALSE),"")</f>
        <v>EMP008</v>
      </c>
      <c r="O25" s="15">
        <f>SUMIF(OderItems!$A$2:$A$510,A25,OderItems!$L$2:$L$510)</f>
        <v>1911000</v>
      </c>
      <c r="P25" s="15">
        <f>SUMIF(OderItems!$A$2:$A$510,A25,OderItems!$G$2:$G$510)</f>
        <v>33000</v>
      </c>
      <c r="Q25" s="15">
        <f>SUMIF(OderItems!$A$2:$A$510,A25,OderItems!$K$2:$K$510)</f>
        <v>0</v>
      </c>
      <c r="R25" s="15">
        <f t="shared" si="1"/>
        <v>1944000</v>
      </c>
      <c r="S25" s="16" t="s">
        <v>79</v>
      </c>
      <c r="T25" s="9" t="b">
        <f t="shared" si="2"/>
        <v>0</v>
      </c>
      <c r="U25" s="13"/>
      <c r="V25" s="13"/>
      <c r="W25" s="13"/>
      <c r="X25" s="13"/>
      <c r="Y25" s="13"/>
      <c r="Z25" s="13"/>
    </row>
    <row r="26" ht="18.0" customHeight="1">
      <c r="A26" s="5" t="s">
        <v>725</v>
      </c>
      <c r="B26" s="5" t="s">
        <v>220</v>
      </c>
      <c r="C26" s="5" t="s">
        <v>88</v>
      </c>
      <c r="D26" s="12">
        <v>45408.55003472222</v>
      </c>
      <c r="E26" s="12">
        <v>45408.633368055554</v>
      </c>
      <c r="F26" s="12">
        <v>45410.55003472222</v>
      </c>
      <c r="G26" s="12">
        <v>45414.55003472222</v>
      </c>
      <c r="H26" s="12">
        <v>45416.55003472222</v>
      </c>
      <c r="I26" s="5" t="s">
        <v>221</v>
      </c>
      <c r="J26" s="5" t="s">
        <v>471</v>
      </c>
      <c r="K26" s="5" t="s">
        <v>258</v>
      </c>
      <c r="L26" s="5" t="s">
        <v>154</v>
      </c>
      <c r="M26" s="5" t="s">
        <v>151</v>
      </c>
      <c r="N26" s="9" t="str">
        <f>IFERROR(VLOOKUP(I26,Customers!$B$2:$L$81,11,FALSE),"")</f>
        <v>EMP001</v>
      </c>
      <c r="O26" s="15">
        <f>SUMIF(OderItems!$A$2:$A$510,A26,OderItems!$L$2:$L$510)</f>
        <v>2710000</v>
      </c>
      <c r="P26" s="15">
        <f>SUMIF(OderItems!$A$2:$A$510,A26,OderItems!$G$2:$G$510)</f>
        <v>47000</v>
      </c>
      <c r="Q26" s="15">
        <f>SUMIF(OderItems!$A$2:$A$510,A26,OderItems!$K$2:$K$510)</f>
        <v>0</v>
      </c>
      <c r="R26" s="15">
        <f t="shared" si="1"/>
        <v>2757000</v>
      </c>
      <c r="S26" s="16" t="s">
        <v>79</v>
      </c>
      <c r="T26" s="9" t="b">
        <f t="shared" si="2"/>
        <v>1</v>
      </c>
      <c r="U26" s="13"/>
      <c r="V26" s="13"/>
      <c r="W26" s="13"/>
      <c r="X26" s="13"/>
      <c r="Y26" s="13"/>
      <c r="Z26" s="13"/>
    </row>
    <row r="27" ht="18.0" customHeight="1">
      <c r="A27" s="5" t="s">
        <v>731</v>
      </c>
      <c r="B27" s="5" t="s">
        <v>82</v>
      </c>
      <c r="C27" s="5" t="s">
        <v>759</v>
      </c>
      <c r="D27" s="12">
        <v>45468.779444444444</v>
      </c>
      <c r="E27" s="12">
        <v>45468.86277777778</v>
      </c>
      <c r="F27" s="12">
        <v>45470.779444444444</v>
      </c>
      <c r="G27" s="12">
        <v>45474.779444444444</v>
      </c>
      <c r="H27" s="12">
        <v>45476.779444444444</v>
      </c>
      <c r="I27" s="5" t="s">
        <v>83</v>
      </c>
      <c r="J27" s="5" t="s">
        <v>342</v>
      </c>
      <c r="K27" s="5" t="s">
        <v>406</v>
      </c>
      <c r="L27" s="5" t="s">
        <v>46</v>
      </c>
      <c r="M27" s="5" t="s">
        <v>84</v>
      </c>
      <c r="N27" s="9" t="str">
        <f>IFERROR(VLOOKUP(I27,Customers!$B$2:$L$81,11,FALSE),"")</f>
        <v>EMP003</v>
      </c>
      <c r="O27" s="15">
        <f>SUMIF(OderItems!$A$2:$A$510,A27,OderItems!$L$2:$L$510)</f>
        <v>1463000</v>
      </c>
      <c r="P27" s="15">
        <f>SUMIF(OderItems!$A$2:$A$510,A27,OderItems!$G$2:$G$510)</f>
        <v>33000</v>
      </c>
      <c r="Q27" s="15">
        <f>SUMIF(OderItems!$A$2:$A$510,A27,OderItems!$K$2:$K$510)</f>
        <v>0</v>
      </c>
      <c r="R27" s="15">
        <f t="shared" si="1"/>
        <v>1496000</v>
      </c>
      <c r="S27" s="16" t="s">
        <v>79</v>
      </c>
      <c r="T27" s="9" t="b">
        <f t="shared" si="2"/>
        <v>0</v>
      </c>
      <c r="U27" s="13"/>
      <c r="V27" s="13"/>
      <c r="W27" s="13"/>
      <c r="X27" s="13"/>
      <c r="Y27" s="13"/>
      <c r="Z27" s="13"/>
    </row>
    <row r="28" ht="18.0" customHeight="1">
      <c r="A28" s="5" t="s">
        <v>734</v>
      </c>
      <c r="B28" s="5" t="s">
        <v>474</v>
      </c>
      <c r="C28" s="5" t="s">
        <v>88</v>
      </c>
      <c r="D28" s="12">
        <v>46222.93883101852</v>
      </c>
      <c r="E28" s="12">
        <v>46223.02216435185</v>
      </c>
      <c r="F28" s="12">
        <v>46224.93883101852</v>
      </c>
      <c r="G28" s="12">
        <v>46228.93883101852</v>
      </c>
      <c r="H28" s="12">
        <v>46230.93883101852</v>
      </c>
      <c r="I28" s="5" t="s">
        <v>475</v>
      </c>
      <c r="J28" s="5" t="s">
        <v>471</v>
      </c>
      <c r="K28" s="5" t="s">
        <v>258</v>
      </c>
      <c r="L28" s="5" t="s">
        <v>74</v>
      </c>
      <c r="M28" s="5" t="s">
        <v>123</v>
      </c>
      <c r="N28" s="9" t="str">
        <f>IFERROR(VLOOKUP(I28,Customers!$B$2:$L$81,11,FALSE),"")</f>
        <v>EMP007</v>
      </c>
      <c r="O28" s="15">
        <f>SUMIF(OderItems!$A$2:$A$510,A28,OderItems!$L$2:$L$510)</f>
        <v>2329000</v>
      </c>
      <c r="P28" s="15">
        <f>SUMIF(OderItems!$A$2:$A$510,A28,OderItems!$G$2:$G$510)</f>
        <v>48000</v>
      </c>
      <c r="Q28" s="15">
        <f>SUMIF(OderItems!$A$2:$A$510,A28,OderItems!$K$2:$K$510)</f>
        <v>0</v>
      </c>
      <c r="R28" s="15">
        <f t="shared" si="1"/>
        <v>2377000</v>
      </c>
      <c r="S28" s="16" t="s">
        <v>79</v>
      </c>
      <c r="T28" s="9" t="b">
        <f t="shared" si="2"/>
        <v>1</v>
      </c>
      <c r="U28" s="13"/>
      <c r="V28" s="13"/>
      <c r="W28" s="13"/>
      <c r="X28" s="13"/>
      <c r="Y28" s="13"/>
      <c r="Z28" s="13"/>
    </row>
    <row r="29" ht="18.0" customHeight="1">
      <c r="A29" s="5" t="s">
        <v>739</v>
      </c>
      <c r="B29" s="5" t="s">
        <v>443</v>
      </c>
      <c r="C29" s="5" t="s">
        <v>88</v>
      </c>
      <c r="D29" s="12">
        <v>46098.25509259259</v>
      </c>
      <c r="E29" s="12">
        <v>46098.338425925926</v>
      </c>
      <c r="F29" s="12">
        <v>46100.25509259259</v>
      </c>
      <c r="G29" s="12">
        <v>46104.25509259259</v>
      </c>
      <c r="H29" s="12">
        <v>46106.25509259259</v>
      </c>
      <c r="I29" s="5" t="s">
        <v>444</v>
      </c>
      <c r="J29" s="5" t="s">
        <v>342</v>
      </c>
      <c r="K29" s="5" t="s">
        <v>406</v>
      </c>
      <c r="L29" s="5" t="s">
        <v>154</v>
      </c>
      <c r="M29" s="5" t="s">
        <v>260</v>
      </c>
      <c r="N29" s="9" t="str">
        <f>IFERROR(VLOOKUP(I29,Customers!$B$2:$L$81,11,FALSE),"")</f>
        <v>EMP003</v>
      </c>
      <c r="O29" s="15">
        <f>SUMIF(OderItems!$A$2:$A$510,A29,OderItems!$L$2:$L$510)</f>
        <v>4420000</v>
      </c>
      <c r="P29" s="15">
        <f>SUMIF(OderItems!$A$2:$A$510,A29,OderItems!$G$2:$G$510)</f>
        <v>61000</v>
      </c>
      <c r="Q29" s="15">
        <f>SUMIF(OderItems!$A$2:$A$510,A29,OderItems!$K$2:$K$510)</f>
        <v>0</v>
      </c>
      <c r="R29" s="15">
        <f t="shared" si="1"/>
        <v>4481000</v>
      </c>
      <c r="S29" s="16" t="s">
        <v>79</v>
      </c>
      <c r="T29" s="9" t="b">
        <f t="shared" si="2"/>
        <v>1</v>
      </c>
      <c r="U29" s="13"/>
      <c r="V29" s="13"/>
      <c r="W29" s="13"/>
      <c r="X29" s="13"/>
      <c r="Y29" s="13"/>
      <c r="Z29" s="13"/>
    </row>
    <row r="30" ht="18.0" customHeight="1">
      <c r="A30" s="5" t="s">
        <v>748</v>
      </c>
      <c r="B30" s="5" t="s">
        <v>30</v>
      </c>
      <c r="C30" s="5" t="s">
        <v>88</v>
      </c>
      <c r="D30" s="12">
        <v>45617.08042824074</v>
      </c>
      <c r="E30" s="12">
        <v>45617.16376157408</v>
      </c>
      <c r="F30" s="12">
        <v>45619.08042824074</v>
      </c>
      <c r="G30" s="12">
        <v>45623.08042824074</v>
      </c>
      <c r="H30" s="12">
        <v>45625.08042824074</v>
      </c>
      <c r="I30" s="5" t="s">
        <v>36</v>
      </c>
      <c r="J30" s="5" t="s">
        <v>100</v>
      </c>
      <c r="K30" s="5" t="s">
        <v>258</v>
      </c>
      <c r="L30" s="5" t="s">
        <v>46</v>
      </c>
      <c r="M30" s="5" t="s">
        <v>39</v>
      </c>
      <c r="N30" s="9" t="str">
        <f>IFERROR(VLOOKUP(I30,Customers!$B$2:$L$81,11,FALSE),"")</f>
        <v>EMP001</v>
      </c>
      <c r="O30" s="15">
        <f>SUMIF(OderItems!$A$2:$A$510,A30,OderItems!$L$2:$L$510)</f>
        <v>2250000</v>
      </c>
      <c r="P30" s="15">
        <f>SUMIF(OderItems!$A$2:$A$510,A30,OderItems!$G$2:$G$510)</f>
        <v>32000</v>
      </c>
      <c r="Q30" s="15">
        <f>SUMIF(OderItems!$A$2:$A$510,A30,OderItems!$K$2:$K$510)</f>
        <v>0</v>
      </c>
      <c r="R30" s="15">
        <f t="shared" si="1"/>
        <v>2282000</v>
      </c>
      <c r="S30" s="16" t="s">
        <v>79</v>
      </c>
      <c r="T30" s="9" t="b">
        <f t="shared" si="2"/>
        <v>1</v>
      </c>
      <c r="U30" s="13"/>
      <c r="V30" s="13"/>
      <c r="W30" s="13"/>
      <c r="X30" s="13"/>
      <c r="Y30" s="13"/>
      <c r="Z30" s="13"/>
    </row>
    <row r="31" ht="18.0" customHeight="1">
      <c r="A31" s="5" t="s">
        <v>757</v>
      </c>
      <c r="B31" s="5" t="s">
        <v>113</v>
      </c>
      <c r="C31" s="5" t="s">
        <v>759</v>
      </c>
      <c r="D31" s="12">
        <v>45400.13853009259</v>
      </c>
      <c r="E31" s="12">
        <v>45400.221863425926</v>
      </c>
      <c r="F31" s="12">
        <v>45402.13853009259</v>
      </c>
      <c r="G31" s="12">
        <v>45406.13853009259</v>
      </c>
      <c r="H31" s="12">
        <v>45408.13853009259</v>
      </c>
      <c r="I31" s="5" t="s">
        <v>114</v>
      </c>
      <c r="J31" s="5" t="s">
        <v>100</v>
      </c>
      <c r="K31" s="5" t="s">
        <v>258</v>
      </c>
      <c r="L31" s="5" t="s">
        <v>74</v>
      </c>
      <c r="M31" s="5" t="s">
        <v>96</v>
      </c>
      <c r="N31" s="9" t="str">
        <f>IFERROR(VLOOKUP(I31,Customers!$B$2:$L$81,11,FALSE),"")</f>
        <v>EMP006</v>
      </c>
      <c r="O31" s="15">
        <f>SUMIF(OderItems!$A$2:$A$510,A31,OderItems!$L$2:$L$510)</f>
        <v>930000</v>
      </c>
      <c r="P31" s="15">
        <f>SUMIF(OderItems!$A$2:$A$510,A31,OderItems!$G$2:$G$510)</f>
        <v>13000</v>
      </c>
      <c r="Q31" s="15">
        <f>SUMIF(OderItems!$A$2:$A$510,A31,OderItems!$K$2:$K$510)</f>
        <v>0</v>
      </c>
      <c r="R31" s="15">
        <f t="shared" si="1"/>
        <v>943000</v>
      </c>
      <c r="S31" s="16" t="s">
        <v>79</v>
      </c>
      <c r="T31" s="9" t="b">
        <f t="shared" si="2"/>
        <v>0</v>
      </c>
      <c r="U31" s="13"/>
      <c r="V31" s="13"/>
      <c r="W31" s="13"/>
      <c r="X31" s="13"/>
      <c r="Y31" s="13"/>
      <c r="Z31" s="13"/>
    </row>
    <row r="32" ht="18.0" customHeight="1">
      <c r="A32" s="5" t="s">
        <v>761</v>
      </c>
      <c r="B32" s="5" t="s">
        <v>314</v>
      </c>
      <c r="C32" s="5" t="s">
        <v>88</v>
      </c>
      <c r="D32" s="12">
        <v>45412.908842592595</v>
      </c>
      <c r="E32" s="12">
        <v>45412.99217592592</v>
      </c>
      <c r="F32" s="12">
        <v>45414.908842592595</v>
      </c>
      <c r="G32" s="12">
        <v>45418.908842592595</v>
      </c>
      <c r="H32" s="12">
        <v>45420.908842592595</v>
      </c>
      <c r="I32" s="5" t="s">
        <v>315</v>
      </c>
      <c r="J32" s="5" t="s">
        <v>471</v>
      </c>
      <c r="K32" s="5" t="s">
        <v>406</v>
      </c>
      <c r="L32" s="5" t="s">
        <v>154</v>
      </c>
      <c r="M32" s="5" t="s">
        <v>268</v>
      </c>
      <c r="N32" s="9" t="str">
        <f>IFERROR(VLOOKUP(I32,Customers!$B$2:$L$81,11,FALSE),"")</f>
        <v>EMP003</v>
      </c>
      <c r="O32" s="15">
        <f>SUMIF(OderItems!$A$2:$A$510,A32,OderItems!$L$2:$L$510)</f>
        <v>2968000</v>
      </c>
      <c r="P32" s="15">
        <f>SUMIF(OderItems!$A$2:$A$510,A32,OderItems!$G$2:$G$510)</f>
        <v>33000</v>
      </c>
      <c r="Q32" s="15">
        <f>SUMIF(OderItems!$A$2:$A$510,A32,OderItems!$K$2:$K$510)</f>
        <v>0</v>
      </c>
      <c r="R32" s="15">
        <f t="shared" si="1"/>
        <v>3001000</v>
      </c>
      <c r="S32" s="16" t="s">
        <v>79</v>
      </c>
      <c r="T32" s="9" t="b">
        <f t="shared" si="2"/>
        <v>1</v>
      </c>
      <c r="U32" s="13"/>
      <c r="V32" s="13"/>
      <c r="W32" s="13"/>
      <c r="X32" s="13"/>
      <c r="Y32" s="13"/>
      <c r="Z32" s="13"/>
    </row>
    <row r="33" ht="18.0" customHeight="1">
      <c r="A33" s="5" t="s">
        <v>766</v>
      </c>
      <c r="B33" s="5" t="s">
        <v>247</v>
      </c>
      <c r="C33" s="5" t="s">
        <v>88</v>
      </c>
      <c r="D33" s="12">
        <v>45384.2109837963</v>
      </c>
      <c r="E33" s="12">
        <v>45384.29431712963</v>
      </c>
      <c r="F33" s="12">
        <v>45386.2109837963</v>
      </c>
      <c r="G33" s="12">
        <v>45390.2109837963</v>
      </c>
      <c r="H33" s="12">
        <v>45392.2109837963</v>
      </c>
      <c r="I33" s="5" t="s">
        <v>254</v>
      </c>
      <c r="J33" s="5" t="s">
        <v>342</v>
      </c>
      <c r="K33" s="5" t="s">
        <v>258</v>
      </c>
      <c r="L33" s="5" t="s">
        <v>154</v>
      </c>
      <c r="M33" s="5" t="s">
        <v>260</v>
      </c>
      <c r="N33" s="9" t="str">
        <f>IFERROR(VLOOKUP(I33,Customers!$B$2:$L$81,11,FALSE),"")</f>
        <v>EMP008</v>
      </c>
      <c r="O33" s="15">
        <f>SUMIF(OderItems!$A$2:$A$510,A33,OderItems!$L$2:$L$510)</f>
        <v>2661000</v>
      </c>
      <c r="P33" s="15">
        <f>SUMIF(OderItems!$A$2:$A$510,A33,OderItems!$G$2:$G$510)</f>
        <v>44000</v>
      </c>
      <c r="Q33" s="15">
        <f>SUMIF(OderItems!$A$2:$A$510,A33,OderItems!$K$2:$K$510)</f>
        <v>0</v>
      </c>
      <c r="R33" s="15">
        <f t="shared" si="1"/>
        <v>2705000</v>
      </c>
      <c r="S33" s="16" t="s">
        <v>79</v>
      </c>
      <c r="T33" s="9" t="b">
        <f t="shared" si="2"/>
        <v>1</v>
      </c>
      <c r="U33" s="13"/>
      <c r="V33" s="13"/>
      <c r="W33" s="13"/>
      <c r="X33" s="13"/>
      <c r="Y33" s="13"/>
      <c r="Z33" s="13"/>
    </row>
    <row r="34" ht="18.0" customHeight="1">
      <c r="A34" s="5" t="s">
        <v>772</v>
      </c>
      <c r="B34" s="5" t="s">
        <v>528</v>
      </c>
      <c r="C34" s="5" t="s">
        <v>751</v>
      </c>
      <c r="D34" s="12">
        <v>46191.52260416667</v>
      </c>
      <c r="E34" s="12">
        <v>46191.6059375</v>
      </c>
      <c r="F34" s="18"/>
      <c r="G34" s="18"/>
      <c r="H34" s="12">
        <v>46199.52260416667</v>
      </c>
      <c r="I34" s="5" t="s">
        <v>529</v>
      </c>
      <c r="J34" s="5" t="s">
        <v>342</v>
      </c>
      <c r="K34" s="5" t="s">
        <v>258</v>
      </c>
      <c r="L34" s="5" t="s">
        <v>154</v>
      </c>
      <c r="M34" s="5" t="s">
        <v>215</v>
      </c>
      <c r="N34" s="9" t="str">
        <f>IFERROR(VLOOKUP(I34,Customers!$B$2:$L$81,11,FALSE),"")</f>
        <v>EMP006</v>
      </c>
      <c r="O34" s="15">
        <f>SUMIF(OderItems!$A$2:$A$510,A34,OderItems!$L$2:$L$510)</f>
        <v>1430000</v>
      </c>
      <c r="P34" s="15">
        <f>SUMIF(OderItems!$A$2:$A$510,A34,OderItems!$G$2:$G$510)</f>
        <v>20000</v>
      </c>
      <c r="Q34" s="15">
        <f>SUMIF(OderItems!$A$2:$A$510,A34,OderItems!$K$2:$K$510)</f>
        <v>0</v>
      </c>
      <c r="R34" s="15">
        <f t="shared" si="1"/>
        <v>1450000</v>
      </c>
      <c r="S34" s="16" t="s">
        <v>79</v>
      </c>
      <c r="T34" s="9" t="b">
        <f t="shared" si="2"/>
        <v>0</v>
      </c>
      <c r="U34" s="13"/>
      <c r="V34" s="13"/>
      <c r="W34" s="13"/>
      <c r="X34" s="13"/>
      <c r="Y34" s="13"/>
      <c r="Z34" s="13"/>
    </row>
    <row r="35" ht="18.0" customHeight="1">
      <c r="A35" s="5" t="s">
        <v>775</v>
      </c>
      <c r="B35" s="5" t="s">
        <v>466</v>
      </c>
      <c r="C35" s="5" t="s">
        <v>88</v>
      </c>
      <c r="D35" s="12">
        <v>45988.33993055556</v>
      </c>
      <c r="E35" s="12">
        <v>45988.423263888886</v>
      </c>
      <c r="F35" s="12">
        <v>45990.33993055556</v>
      </c>
      <c r="G35" s="12">
        <v>45994.33993055556</v>
      </c>
      <c r="H35" s="12">
        <v>45996.33993055556</v>
      </c>
      <c r="I35" s="5" t="s">
        <v>467</v>
      </c>
      <c r="J35" s="5" t="s">
        <v>342</v>
      </c>
      <c r="K35" s="5" t="s">
        <v>406</v>
      </c>
      <c r="L35" s="5" t="s">
        <v>154</v>
      </c>
      <c r="M35" s="5" t="s">
        <v>151</v>
      </c>
      <c r="N35" s="9" t="str">
        <f>IFERROR(VLOOKUP(I35,Customers!$B$2:$L$81,11,FALSE),"")</f>
        <v>EMP006</v>
      </c>
      <c r="O35" s="15">
        <f>SUMIF(OderItems!$A$2:$A$510,A35,OderItems!$L$2:$L$510)</f>
        <v>1692000</v>
      </c>
      <c r="P35" s="15">
        <f>SUMIF(OderItems!$A$2:$A$510,A35,OderItems!$G$2:$G$510)</f>
        <v>32000</v>
      </c>
      <c r="Q35" s="15">
        <f>SUMIF(OderItems!$A$2:$A$510,A35,OderItems!$K$2:$K$510)</f>
        <v>0</v>
      </c>
      <c r="R35" s="15">
        <f t="shared" si="1"/>
        <v>1724000</v>
      </c>
      <c r="S35" s="16" t="s">
        <v>79</v>
      </c>
      <c r="T35" s="9" t="b">
        <f t="shared" si="2"/>
        <v>1</v>
      </c>
      <c r="U35" s="13"/>
      <c r="V35" s="13"/>
      <c r="W35" s="13"/>
      <c r="X35" s="13"/>
      <c r="Y35" s="13"/>
      <c r="Z35" s="13"/>
    </row>
    <row r="36" ht="18.0" customHeight="1">
      <c r="A36" s="5" t="s">
        <v>778</v>
      </c>
      <c r="B36" s="5" t="s">
        <v>149</v>
      </c>
      <c r="C36" s="5" t="s">
        <v>88</v>
      </c>
      <c r="D36" s="12">
        <v>45723.270104166666</v>
      </c>
      <c r="E36" s="12">
        <v>45723.3534375</v>
      </c>
      <c r="F36" s="12">
        <v>45725.270104166666</v>
      </c>
      <c r="G36" s="12">
        <v>45729.270104166666</v>
      </c>
      <c r="H36" s="12">
        <v>45731.270104166666</v>
      </c>
      <c r="I36" s="5" t="s">
        <v>150</v>
      </c>
      <c r="J36" s="5" t="s">
        <v>404</v>
      </c>
      <c r="K36" s="5" t="s">
        <v>344</v>
      </c>
      <c r="L36" s="5" t="s">
        <v>154</v>
      </c>
      <c r="M36" s="5" t="s">
        <v>151</v>
      </c>
      <c r="N36" s="9" t="str">
        <f>IFERROR(VLOOKUP(I36,Customers!$B$2:$L$81,11,FALSE),"")</f>
        <v>EMP002</v>
      </c>
      <c r="O36" s="15">
        <f>SUMIF(OderItems!$A$2:$A$510,A36,OderItems!$L$2:$L$510)</f>
        <v>1350000</v>
      </c>
      <c r="P36" s="15">
        <f>SUMIF(OderItems!$A$2:$A$510,A36,OderItems!$G$2:$G$510)</f>
        <v>27000</v>
      </c>
      <c r="Q36" s="15">
        <f>SUMIF(OderItems!$A$2:$A$510,A36,OderItems!$K$2:$K$510)</f>
        <v>0</v>
      </c>
      <c r="R36" s="15">
        <f t="shared" si="1"/>
        <v>1377000</v>
      </c>
      <c r="S36" s="16" t="s">
        <v>79</v>
      </c>
      <c r="T36" s="9" t="b">
        <f t="shared" si="2"/>
        <v>1</v>
      </c>
      <c r="U36" s="13"/>
      <c r="V36" s="13"/>
      <c r="W36" s="13"/>
      <c r="X36" s="13"/>
      <c r="Y36" s="13"/>
      <c r="Z36" s="13"/>
    </row>
    <row r="37" ht="18.0" customHeight="1">
      <c r="A37" s="5" t="s">
        <v>780</v>
      </c>
      <c r="B37" s="5" t="s">
        <v>200</v>
      </c>
      <c r="C37" s="5" t="s">
        <v>692</v>
      </c>
      <c r="D37" s="12">
        <v>45519.575104166666</v>
      </c>
      <c r="E37" s="18"/>
      <c r="F37" s="18"/>
      <c r="G37" s="18"/>
      <c r="H37" s="12">
        <v>45527.575104166666</v>
      </c>
      <c r="I37" s="5" t="s">
        <v>201</v>
      </c>
      <c r="J37" s="5" t="s">
        <v>471</v>
      </c>
      <c r="K37" s="5" t="s">
        <v>344</v>
      </c>
      <c r="L37" s="5" t="s">
        <v>154</v>
      </c>
      <c r="M37" s="5" t="s">
        <v>202</v>
      </c>
      <c r="N37" s="9" t="str">
        <f>IFERROR(VLOOKUP(I37,Customers!$B$2:$L$81,11,FALSE),"")</f>
        <v>EMP007</v>
      </c>
      <c r="O37" s="15">
        <f>SUMIF(OderItems!$A$2:$A$510,A37,OderItems!$L$2:$L$510)</f>
        <v>752000</v>
      </c>
      <c r="P37" s="15">
        <f>SUMIF(OderItems!$A$2:$A$510,A37,OderItems!$G$2:$G$510)</f>
        <v>20000</v>
      </c>
      <c r="Q37" s="15">
        <f>SUMIF(OderItems!$A$2:$A$510,A37,OderItems!$K$2:$K$510)</f>
        <v>0</v>
      </c>
      <c r="R37" s="15">
        <f t="shared" si="1"/>
        <v>772000</v>
      </c>
      <c r="S37" s="16" t="s">
        <v>79</v>
      </c>
      <c r="T37" s="9" t="b">
        <f t="shared" si="2"/>
        <v>0</v>
      </c>
      <c r="U37" s="13"/>
      <c r="V37" s="13"/>
      <c r="W37" s="13"/>
      <c r="X37" s="13"/>
      <c r="Y37" s="13"/>
      <c r="Z37" s="13"/>
    </row>
    <row r="38" ht="18.0" customHeight="1">
      <c r="A38" s="5" t="s">
        <v>783</v>
      </c>
      <c r="B38" s="5" t="s">
        <v>228</v>
      </c>
      <c r="C38" s="5" t="s">
        <v>751</v>
      </c>
      <c r="D38" s="12">
        <v>45419.827997685185</v>
      </c>
      <c r="E38" s="12">
        <v>45419.91133101852</v>
      </c>
      <c r="F38" s="18"/>
      <c r="G38" s="18"/>
      <c r="H38" s="12">
        <v>45427.827997685185</v>
      </c>
      <c r="I38" s="5" t="s">
        <v>229</v>
      </c>
      <c r="J38" s="5" t="s">
        <v>404</v>
      </c>
      <c r="K38" s="5" t="s">
        <v>406</v>
      </c>
      <c r="L38" s="5" t="s">
        <v>154</v>
      </c>
      <c r="M38" s="5" t="s">
        <v>202</v>
      </c>
      <c r="N38" s="9" t="str">
        <f>IFERROR(VLOOKUP(I38,Customers!$B$2:$L$81,11,FALSE),"")</f>
        <v>EMP002</v>
      </c>
      <c r="O38" s="15">
        <f>SUMIF(OderItems!$A$2:$A$510,A38,OderItems!$L$2:$L$510)</f>
        <v>2056000</v>
      </c>
      <c r="P38" s="15">
        <f>SUMIF(OderItems!$A$2:$A$510,A38,OderItems!$G$2:$G$510)</f>
        <v>29000</v>
      </c>
      <c r="Q38" s="15">
        <f>SUMIF(OderItems!$A$2:$A$510,A38,OderItems!$K$2:$K$510)</f>
        <v>0</v>
      </c>
      <c r="R38" s="15">
        <f t="shared" si="1"/>
        <v>2085000</v>
      </c>
      <c r="S38" s="16" t="s">
        <v>79</v>
      </c>
      <c r="T38" s="9" t="b">
        <f t="shared" si="2"/>
        <v>0</v>
      </c>
      <c r="U38" s="13"/>
      <c r="V38" s="13"/>
      <c r="W38" s="13"/>
      <c r="X38" s="13"/>
      <c r="Y38" s="13"/>
      <c r="Z38" s="13"/>
    </row>
    <row r="39" ht="18.0" customHeight="1">
      <c r="A39" s="5" t="s">
        <v>786</v>
      </c>
      <c r="B39" s="5" t="s">
        <v>511</v>
      </c>
      <c r="C39" s="5" t="s">
        <v>88</v>
      </c>
      <c r="D39" s="12">
        <v>45918.19678240741</v>
      </c>
      <c r="E39" s="12">
        <v>45918.28011574074</v>
      </c>
      <c r="F39" s="12">
        <v>45920.19678240741</v>
      </c>
      <c r="G39" s="12">
        <v>45924.19678240741</v>
      </c>
      <c r="H39" s="12">
        <v>45926.19678240741</v>
      </c>
      <c r="I39" s="5" t="s">
        <v>512</v>
      </c>
      <c r="J39" s="5" t="s">
        <v>404</v>
      </c>
      <c r="K39" s="5" t="s">
        <v>258</v>
      </c>
      <c r="L39" s="5" t="s">
        <v>154</v>
      </c>
      <c r="M39" s="5" t="s">
        <v>151</v>
      </c>
      <c r="N39" s="9" t="str">
        <f>IFERROR(VLOOKUP(I39,Customers!$B$2:$L$81,11,FALSE),"")</f>
        <v>EMP004</v>
      </c>
      <c r="O39" s="15">
        <f>SUMIF(OderItems!$A$2:$A$510,A39,OderItems!$L$2:$L$510)</f>
        <v>1092000</v>
      </c>
      <c r="P39" s="15">
        <f>SUMIF(OderItems!$A$2:$A$510,A39,OderItems!$G$2:$G$510)</f>
        <v>17000</v>
      </c>
      <c r="Q39" s="15">
        <f>SUMIF(OderItems!$A$2:$A$510,A39,OderItems!$K$2:$K$510)</f>
        <v>0</v>
      </c>
      <c r="R39" s="15">
        <f t="shared" si="1"/>
        <v>1109000</v>
      </c>
      <c r="S39" s="16" t="s">
        <v>79</v>
      </c>
      <c r="T39" s="9" t="b">
        <f t="shared" si="2"/>
        <v>1</v>
      </c>
      <c r="U39" s="13"/>
      <c r="V39" s="13"/>
      <c r="W39" s="13"/>
      <c r="X39" s="13"/>
      <c r="Y39" s="13"/>
      <c r="Z39" s="13"/>
    </row>
    <row r="40" ht="18.0" customHeight="1">
      <c r="A40" s="5" t="s">
        <v>790</v>
      </c>
      <c r="B40" s="5" t="s">
        <v>421</v>
      </c>
      <c r="C40" s="5" t="s">
        <v>751</v>
      </c>
      <c r="D40" s="12">
        <v>45768.86371527778</v>
      </c>
      <c r="E40" s="12">
        <v>45768.94704861111</v>
      </c>
      <c r="F40" s="18"/>
      <c r="G40" s="18"/>
      <c r="H40" s="12">
        <v>45776.86371527778</v>
      </c>
      <c r="I40" s="5" t="s">
        <v>422</v>
      </c>
      <c r="J40" s="5" t="s">
        <v>342</v>
      </c>
      <c r="K40" s="5" t="s">
        <v>406</v>
      </c>
      <c r="L40" s="5" t="s">
        <v>46</v>
      </c>
      <c r="M40" s="5" t="s">
        <v>39</v>
      </c>
      <c r="N40" s="9" t="str">
        <f>IFERROR(VLOOKUP(I40,Customers!$B$2:$L$81,11,FALSE),"")</f>
        <v>EMP008</v>
      </c>
      <c r="O40" s="15">
        <f>SUMIF(OderItems!$A$2:$A$510,A40,OderItems!$L$2:$L$510)</f>
        <v>1419000</v>
      </c>
      <c r="P40" s="15">
        <f>SUMIF(OderItems!$A$2:$A$510,A40,OderItems!$G$2:$G$510)</f>
        <v>56000</v>
      </c>
      <c r="Q40" s="15">
        <f>SUMIF(OderItems!$A$2:$A$510,A40,OderItems!$K$2:$K$510)</f>
        <v>0</v>
      </c>
      <c r="R40" s="15">
        <f t="shared" si="1"/>
        <v>1475000</v>
      </c>
      <c r="S40" s="16" t="s">
        <v>79</v>
      </c>
      <c r="T40" s="9" t="b">
        <f t="shared" si="2"/>
        <v>0</v>
      </c>
      <c r="U40" s="13"/>
      <c r="V40" s="13"/>
      <c r="W40" s="13"/>
      <c r="X40" s="13"/>
      <c r="Y40" s="13"/>
      <c r="Z40" s="13"/>
    </row>
    <row r="41" ht="18.0" customHeight="1">
      <c r="A41" s="5" t="s">
        <v>793</v>
      </c>
      <c r="B41" s="5" t="s">
        <v>466</v>
      </c>
      <c r="C41" s="5" t="s">
        <v>759</v>
      </c>
      <c r="D41" s="12">
        <v>45836.628657407404</v>
      </c>
      <c r="E41" s="12">
        <v>45836.71199074074</v>
      </c>
      <c r="F41" s="12">
        <v>45838.628657407404</v>
      </c>
      <c r="G41" s="12">
        <v>45842.628657407404</v>
      </c>
      <c r="H41" s="12">
        <v>45844.628657407404</v>
      </c>
      <c r="I41" s="5" t="s">
        <v>467</v>
      </c>
      <c r="J41" s="5" t="s">
        <v>100</v>
      </c>
      <c r="K41" s="5" t="s">
        <v>102</v>
      </c>
      <c r="L41" s="5" t="s">
        <v>154</v>
      </c>
      <c r="M41" s="5" t="s">
        <v>151</v>
      </c>
      <c r="N41" s="9" t="str">
        <f>IFERROR(VLOOKUP(I41,Customers!$B$2:$L$81,11,FALSE),"")</f>
        <v>EMP006</v>
      </c>
      <c r="O41" s="15">
        <f>SUMIF(OderItems!$A$2:$A$510,A41,OderItems!$L$2:$L$510)</f>
        <v>1668000</v>
      </c>
      <c r="P41" s="15">
        <f>SUMIF(OderItems!$A$2:$A$510,A41,OderItems!$G$2:$G$510)</f>
        <v>27000</v>
      </c>
      <c r="Q41" s="15">
        <f>SUMIF(OderItems!$A$2:$A$510,A41,OderItems!$K$2:$K$510)</f>
        <v>0</v>
      </c>
      <c r="R41" s="15">
        <f t="shared" si="1"/>
        <v>1695000</v>
      </c>
      <c r="S41" s="16" t="s">
        <v>79</v>
      </c>
      <c r="T41" s="9" t="b">
        <f t="shared" si="2"/>
        <v>0</v>
      </c>
      <c r="U41" s="13"/>
      <c r="V41" s="13"/>
      <c r="W41" s="13"/>
      <c r="X41" s="13"/>
      <c r="Y41" s="13"/>
      <c r="Z41" s="13"/>
    </row>
    <row r="42" ht="18.0" customHeight="1">
      <c r="A42" s="5" t="s">
        <v>794</v>
      </c>
      <c r="B42" s="5" t="s">
        <v>669</v>
      </c>
      <c r="C42" s="5" t="s">
        <v>751</v>
      </c>
      <c r="D42" s="12">
        <v>45633.099328703705</v>
      </c>
      <c r="E42" s="12">
        <v>45633.182662037034</v>
      </c>
      <c r="F42" s="18"/>
      <c r="G42" s="18"/>
      <c r="H42" s="12">
        <v>45641.099328703705</v>
      </c>
      <c r="I42" s="5" t="s">
        <v>670</v>
      </c>
      <c r="J42" s="5" t="s">
        <v>342</v>
      </c>
      <c r="K42" s="5" t="s">
        <v>102</v>
      </c>
      <c r="L42" s="5" t="s">
        <v>154</v>
      </c>
      <c r="M42" s="5" t="s">
        <v>268</v>
      </c>
      <c r="N42" s="9" t="str">
        <f>IFERROR(VLOOKUP(I42,Customers!$B$2:$L$81,11,FALSE),"")</f>
        <v>EMP005</v>
      </c>
      <c r="O42" s="15">
        <f>SUMIF(OderItems!$A$2:$A$510,A42,OderItems!$L$2:$L$510)</f>
        <v>4145000</v>
      </c>
      <c r="P42" s="15">
        <f>SUMIF(OderItems!$A$2:$A$510,A42,OderItems!$G$2:$G$510)</f>
        <v>44000</v>
      </c>
      <c r="Q42" s="15">
        <f>SUMIF(OderItems!$A$2:$A$510,A42,OderItems!$K$2:$K$510)</f>
        <v>0</v>
      </c>
      <c r="R42" s="15">
        <f t="shared" si="1"/>
        <v>4189000</v>
      </c>
      <c r="S42" s="16" t="s">
        <v>79</v>
      </c>
      <c r="T42" s="9" t="b">
        <f t="shared" si="2"/>
        <v>0</v>
      </c>
      <c r="U42" s="13"/>
      <c r="V42" s="13"/>
      <c r="W42" s="13"/>
      <c r="X42" s="13"/>
      <c r="Y42" s="13"/>
      <c r="Z42" s="13"/>
    </row>
    <row r="43" ht="18.0" customHeight="1">
      <c r="A43" s="5" t="s">
        <v>796</v>
      </c>
      <c r="B43" s="5" t="s">
        <v>265</v>
      </c>
      <c r="C43" s="5" t="s">
        <v>88</v>
      </c>
      <c r="D43" s="12">
        <v>45442.86518518518</v>
      </c>
      <c r="E43" s="12">
        <v>45442.94851851852</v>
      </c>
      <c r="F43" s="12">
        <v>45444.86518518518</v>
      </c>
      <c r="G43" s="12">
        <v>45448.86518518518</v>
      </c>
      <c r="H43" s="12">
        <v>45450.86518518518</v>
      </c>
      <c r="I43" s="5" t="s">
        <v>267</v>
      </c>
      <c r="J43" s="5" t="s">
        <v>471</v>
      </c>
      <c r="K43" s="5" t="s">
        <v>406</v>
      </c>
      <c r="L43" s="5" t="s">
        <v>154</v>
      </c>
      <c r="M43" s="5" t="s">
        <v>268</v>
      </c>
      <c r="N43" s="9" t="str">
        <f>IFERROR(VLOOKUP(I43,Customers!$B$2:$L$81,11,FALSE),"")</f>
        <v>EMP006</v>
      </c>
      <c r="O43" s="15">
        <f>SUMIF(OderItems!$A$2:$A$510,A43,OderItems!$L$2:$L$510)</f>
        <v>504000</v>
      </c>
      <c r="P43" s="15">
        <f>SUMIF(OderItems!$A$2:$A$510,A43,OderItems!$G$2:$G$510)</f>
        <v>5000</v>
      </c>
      <c r="Q43" s="15">
        <f>SUMIF(OderItems!$A$2:$A$510,A43,OderItems!$K$2:$K$510)</f>
        <v>0</v>
      </c>
      <c r="R43" s="15">
        <f t="shared" si="1"/>
        <v>509000</v>
      </c>
      <c r="S43" s="16" t="s">
        <v>79</v>
      </c>
      <c r="T43" s="9" t="b">
        <f t="shared" si="2"/>
        <v>1</v>
      </c>
      <c r="U43" s="13"/>
      <c r="V43" s="13"/>
      <c r="W43" s="13"/>
      <c r="X43" s="13"/>
      <c r="Y43" s="13"/>
      <c r="Z43" s="13"/>
    </row>
    <row r="44" ht="18.0" customHeight="1">
      <c r="A44" s="5" t="s">
        <v>797</v>
      </c>
      <c r="B44" s="5" t="s">
        <v>314</v>
      </c>
      <c r="C44" s="5" t="s">
        <v>88</v>
      </c>
      <c r="D44" s="12">
        <v>45966.29966435185</v>
      </c>
      <c r="E44" s="12">
        <v>45966.382997685185</v>
      </c>
      <c r="F44" s="12">
        <v>45968.29966435185</v>
      </c>
      <c r="G44" s="12">
        <v>45972.29966435185</v>
      </c>
      <c r="H44" s="12">
        <v>45974.29966435185</v>
      </c>
      <c r="I44" s="5" t="s">
        <v>315</v>
      </c>
      <c r="J44" s="5" t="s">
        <v>100</v>
      </c>
      <c r="K44" s="5" t="s">
        <v>344</v>
      </c>
      <c r="L44" s="5" t="s">
        <v>154</v>
      </c>
      <c r="M44" s="5" t="s">
        <v>268</v>
      </c>
      <c r="N44" s="9" t="str">
        <f>IFERROR(VLOOKUP(I44,Customers!$B$2:$L$81,11,FALSE),"")</f>
        <v>EMP003</v>
      </c>
      <c r="O44" s="15">
        <f>SUMIF(OderItems!$A$2:$A$510,A44,OderItems!$L$2:$L$510)</f>
        <v>2016000</v>
      </c>
      <c r="P44" s="15">
        <f>SUMIF(OderItems!$A$2:$A$510,A44,OderItems!$G$2:$G$510)</f>
        <v>53000</v>
      </c>
      <c r="Q44" s="15">
        <f>SUMIF(OderItems!$A$2:$A$510,A44,OderItems!$K$2:$K$510)</f>
        <v>0</v>
      </c>
      <c r="R44" s="15">
        <f t="shared" si="1"/>
        <v>2069000</v>
      </c>
      <c r="S44" s="16" t="s">
        <v>79</v>
      </c>
      <c r="T44" s="9" t="b">
        <f t="shared" si="2"/>
        <v>1</v>
      </c>
      <c r="U44" s="13"/>
      <c r="V44" s="13"/>
      <c r="W44" s="13"/>
      <c r="X44" s="13"/>
      <c r="Y44" s="13"/>
      <c r="Z44" s="13"/>
    </row>
    <row r="45" ht="18.0" customHeight="1">
      <c r="A45" s="5" t="s">
        <v>799</v>
      </c>
      <c r="B45" s="5" t="s">
        <v>212</v>
      </c>
      <c r="C45" s="5" t="s">
        <v>88</v>
      </c>
      <c r="D45" s="12">
        <v>45300.77307870371</v>
      </c>
      <c r="E45" s="12">
        <v>45300.856412037036</v>
      </c>
      <c r="F45" s="12">
        <v>45302.77307870371</v>
      </c>
      <c r="G45" s="12">
        <v>45306.77307870371</v>
      </c>
      <c r="H45" s="12">
        <v>45308.77307870371</v>
      </c>
      <c r="I45" s="5" t="s">
        <v>213</v>
      </c>
      <c r="J45" s="5" t="s">
        <v>100</v>
      </c>
      <c r="K45" s="5" t="s">
        <v>406</v>
      </c>
      <c r="L45" s="5" t="s">
        <v>154</v>
      </c>
      <c r="M45" s="5" t="s">
        <v>215</v>
      </c>
      <c r="N45" s="9" t="str">
        <f>IFERROR(VLOOKUP(I45,Customers!$B$2:$L$81,11,FALSE),"")</f>
        <v>EMP008</v>
      </c>
      <c r="O45" s="15">
        <f>SUMIF(OderItems!$A$2:$A$510,A45,OderItems!$L$2:$L$510)</f>
        <v>902000</v>
      </c>
      <c r="P45" s="15">
        <f>SUMIF(OderItems!$A$2:$A$510,A45,OderItems!$G$2:$G$510)</f>
        <v>14000</v>
      </c>
      <c r="Q45" s="15">
        <f>SUMIF(OderItems!$A$2:$A$510,A45,OderItems!$K$2:$K$510)</f>
        <v>0</v>
      </c>
      <c r="R45" s="15">
        <f t="shared" si="1"/>
        <v>916000</v>
      </c>
      <c r="S45" s="16" t="s">
        <v>79</v>
      </c>
      <c r="T45" s="9" t="b">
        <f t="shared" si="2"/>
        <v>1</v>
      </c>
      <c r="U45" s="13"/>
      <c r="V45" s="13"/>
      <c r="W45" s="13"/>
      <c r="X45" s="13"/>
      <c r="Y45" s="13"/>
      <c r="Z45" s="13"/>
    </row>
    <row r="46" ht="18.0" customHeight="1">
      <c r="A46" s="5" t="s">
        <v>802</v>
      </c>
      <c r="B46" s="5" t="s">
        <v>188</v>
      </c>
      <c r="C46" s="5" t="s">
        <v>88</v>
      </c>
      <c r="D46" s="12">
        <v>46061.37898148148</v>
      </c>
      <c r="E46" s="12">
        <v>46061.46231481482</v>
      </c>
      <c r="F46" s="12">
        <v>46063.37898148148</v>
      </c>
      <c r="G46" s="12">
        <v>46067.37898148148</v>
      </c>
      <c r="H46" s="12">
        <v>46069.37898148148</v>
      </c>
      <c r="I46" s="5" t="s">
        <v>190</v>
      </c>
      <c r="J46" s="5" t="s">
        <v>342</v>
      </c>
      <c r="K46" s="5" t="s">
        <v>344</v>
      </c>
      <c r="L46" s="5" t="s">
        <v>46</v>
      </c>
      <c r="M46" s="5" t="s">
        <v>192</v>
      </c>
      <c r="N46" s="9" t="str">
        <f>IFERROR(VLOOKUP(I46,Customers!$B$2:$L$81,11,FALSE),"")</f>
        <v>EMP006</v>
      </c>
      <c r="O46" s="15">
        <f>SUMIF(OderItems!$A$2:$A$510,A46,OderItems!$L$2:$L$510)</f>
        <v>971000</v>
      </c>
      <c r="P46" s="15">
        <f>SUMIF(OderItems!$A$2:$A$510,A46,OderItems!$G$2:$G$510)</f>
        <v>21000</v>
      </c>
      <c r="Q46" s="15">
        <f>SUMIF(OderItems!$A$2:$A$510,A46,OderItems!$K$2:$K$510)</f>
        <v>0</v>
      </c>
      <c r="R46" s="15">
        <f t="shared" si="1"/>
        <v>992000</v>
      </c>
      <c r="S46" s="16" t="s">
        <v>79</v>
      </c>
      <c r="T46" s="9" t="b">
        <f t="shared" si="2"/>
        <v>1</v>
      </c>
      <c r="U46" s="13"/>
      <c r="V46" s="13"/>
      <c r="W46" s="13"/>
      <c r="X46" s="13"/>
      <c r="Y46" s="13"/>
      <c r="Z46" s="13"/>
    </row>
    <row r="47" ht="18.0" customHeight="1">
      <c r="A47" s="5" t="s">
        <v>804</v>
      </c>
      <c r="B47" s="5" t="s">
        <v>294</v>
      </c>
      <c r="C47" s="5" t="s">
        <v>759</v>
      </c>
      <c r="D47" s="12">
        <v>45400.53258101852</v>
      </c>
      <c r="E47" s="12">
        <v>45400.61591435185</v>
      </c>
      <c r="F47" s="12">
        <v>45402.53258101852</v>
      </c>
      <c r="G47" s="12">
        <v>45406.53258101852</v>
      </c>
      <c r="H47" s="12">
        <v>45408.53258101852</v>
      </c>
      <c r="I47" s="5" t="s">
        <v>295</v>
      </c>
      <c r="J47" s="5" t="s">
        <v>100</v>
      </c>
      <c r="K47" s="5" t="s">
        <v>258</v>
      </c>
      <c r="L47" s="5" t="s">
        <v>74</v>
      </c>
      <c r="M47" s="5" t="s">
        <v>70</v>
      </c>
      <c r="N47" s="9" t="str">
        <f>IFERROR(VLOOKUP(I47,Customers!$B$2:$L$81,11,FALSE),"")</f>
        <v>EMP001</v>
      </c>
      <c r="O47" s="15">
        <f>SUMIF(OderItems!$A$2:$A$510,A47,OderItems!$L$2:$L$510)</f>
        <v>900000</v>
      </c>
      <c r="P47" s="15">
        <f>SUMIF(OderItems!$A$2:$A$510,A47,OderItems!$G$2:$G$510)</f>
        <v>18000</v>
      </c>
      <c r="Q47" s="15">
        <f>SUMIF(OderItems!$A$2:$A$510,A47,OderItems!$K$2:$K$510)</f>
        <v>0</v>
      </c>
      <c r="R47" s="15">
        <f t="shared" si="1"/>
        <v>918000</v>
      </c>
      <c r="S47" s="16" t="s">
        <v>79</v>
      </c>
      <c r="T47" s="9" t="b">
        <f t="shared" si="2"/>
        <v>0</v>
      </c>
      <c r="U47" s="13"/>
      <c r="V47" s="13"/>
      <c r="W47" s="13"/>
      <c r="X47" s="13"/>
      <c r="Y47" s="13"/>
      <c r="Z47" s="13"/>
    </row>
    <row r="48" ht="18.0" customHeight="1">
      <c r="A48" s="5" t="s">
        <v>806</v>
      </c>
      <c r="B48" s="5" t="s">
        <v>130</v>
      </c>
      <c r="C48" s="5" t="s">
        <v>88</v>
      </c>
      <c r="D48" s="12">
        <v>45546.13165509259</v>
      </c>
      <c r="E48" s="12">
        <v>45546.21498842593</v>
      </c>
      <c r="F48" s="12">
        <v>45548.13165509259</v>
      </c>
      <c r="G48" s="12">
        <v>45552.13165509259</v>
      </c>
      <c r="H48" s="12">
        <v>45554.13165509259</v>
      </c>
      <c r="I48" s="5" t="s">
        <v>131</v>
      </c>
      <c r="J48" s="5" t="s">
        <v>471</v>
      </c>
      <c r="K48" s="5" t="s">
        <v>344</v>
      </c>
      <c r="L48" s="5" t="s">
        <v>46</v>
      </c>
      <c r="M48" s="5" t="s">
        <v>132</v>
      </c>
      <c r="N48" s="9" t="str">
        <f>IFERROR(VLOOKUP(I48,Customers!$B$2:$L$81,11,FALSE),"")</f>
        <v>EMP008</v>
      </c>
      <c r="O48" s="15">
        <f>SUMIF(OderItems!$A$2:$A$510,A48,OderItems!$L$2:$L$510)</f>
        <v>447000</v>
      </c>
      <c r="P48" s="15">
        <f>SUMIF(OderItems!$A$2:$A$510,A48,OderItems!$G$2:$G$510)</f>
        <v>7000</v>
      </c>
      <c r="Q48" s="15">
        <f>SUMIF(OderItems!$A$2:$A$510,A48,OderItems!$K$2:$K$510)</f>
        <v>0</v>
      </c>
      <c r="R48" s="15">
        <f t="shared" si="1"/>
        <v>454000</v>
      </c>
      <c r="S48" s="16" t="s">
        <v>79</v>
      </c>
      <c r="T48" s="9" t="b">
        <f t="shared" si="2"/>
        <v>1</v>
      </c>
      <c r="U48" s="13"/>
      <c r="V48" s="13"/>
      <c r="W48" s="13"/>
      <c r="X48" s="13"/>
      <c r="Y48" s="13"/>
      <c r="Z48" s="13"/>
    </row>
    <row r="49" ht="18.0" customHeight="1">
      <c r="A49" s="5" t="s">
        <v>807</v>
      </c>
      <c r="B49" s="5" t="s">
        <v>181</v>
      </c>
      <c r="C49" s="5" t="s">
        <v>88</v>
      </c>
      <c r="D49" s="12">
        <v>45859.89114583333</v>
      </c>
      <c r="E49" s="12">
        <v>45859.97447916667</v>
      </c>
      <c r="F49" s="12">
        <v>45861.89114583333</v>
      </c>
      <c r="G49" s="12">
        <v>45865.89114583333</v>
      </c>
      <c r="H49" s="12">
        <v>45867.89114583333</v>
      </c>
      <c r="I49" s="5" t="s">
        <v>182</v>
      </c>
      <c r="J49" s="5" t="s">
        <v>471</v>
      </c>
      <c r="K49" s="5" t="s">
        <v>102</v>
      </c>
      <c r="L49" s="5" t="s">
        <v>46</v>
      </c>
      <c r="M49" s="5" t="s">
        <v>39</v>
      </c>
      <c r="N49" s="9" t="str">
        <f>IFERROR(VLOOKUP(I49,Customers!$B$2:$L$81,11,FALSE),"")</f>
        <v>EMP005</v>
      </c>
      <c r="O49" s="15">
        <f>SUMIF(OderItems!$A$2:$A$510,A49,OderItems!$L$2:$L$510)</f>
        <v>674000</v>
      </c>
      <c r="P49" s="15">
        <f>SUMIF(OderItems!$A$2:$A$510,A49,OderItems!$G$2:$G$510)</f>
        <v>14000</v>
      </c>
      <c r="Q49" s="15">
        <f>SUMIF(OderItems!$A$2:$A$510,A49,OderItems!$K$2:$K$510)</f>
        <v>0</v>
      </c>
      <c r="R49" s="15">
        <f t="shared" si="1"/>
        <v>688000</v>
      </c>
      <c r="S49" s="16" t="s">
        <v>79</v>
      </c>
      <c r="T49" s="9" t="b">
        <f t="shared" si="2"/>
        <v>1</v>
      </c>
      <c r="U49" s="13"/>
      <c r="V49" s="13"/>
      <c r="W49" s="13"/>
      <c r="X49" s="13"/>
      <c r="Y49" s="13"/>
      <c r="Z49" s="13"/>
    </row>
    <row r="50" ht="18.0" customHeight="1">
      <c r="A50" s="5" t="s">
        <v>809</v>
      </c>
      <c r="B50" s="5" t="s">
        <v>85</v>
      </c>
      <c r="C50" s="5" t="s">
        <v>88</v>
      </c>
      <c r="D50" s="12">
        <v>45378.459074074075</v>
      </c>
      <c r="E50" s="12">
        <v>45378.54240740741</v>
      </c>
      <c r="F50" s="12">
        <v>45380.459074074075</v>
      </c>
      <c r="G50" s="12">
        <v>45384.459074074075</v>
      </c>
      <c r="H50" s="12">
        <v>45386.459074074075</v>
      </c>
      <c r="I50" s="5" t="s">
        <v>95</v>
      </c>
      <c r="J50" s="5" t="s">
        <v>342</v>
      </c>
      <c r="K50" s="5" t="s">
        <v>344</v>
      </c>
      <c r="L50" s="5" t="s">
        <v>74</v>
      </c>
      <c r="M50" s="5" t="s">
        <v>96</v>
      </c>
      <c r="N50" s="9" t="str">
        <f>IFERROR(VLOOKUP(I50,Customers!$B$2:$L$81,11,FALSE),"")</f>
        <v>EMP001</v>
      </c>
      <c r="O50" s="15">
        <f>SUMIF(OderItems!$A$2:$A$510,A50,OderItems!$L$2:$L$510)</f>
        <v>576000</v>
      </c>
      <c r="P50" s="15">
        <f>SUMIF(OderItems!$A$2:$A$510,A50,OderItems!$G$2:$G$510)</f>
        <v>6000</v>
      </c>
      <c r="Q50" s="15">
        <f>SUMIF(OderItems!$A$2:$A$510,A50,OderItems!$K$2:$K$510)</f>
        <v>0</v>
      </c>
      <c r="R50" s="15">
        <f t="shared" si="1"/>
        <v>582000</v>
      </c>
      <c r="S50" s="16" t="s">
        <v>79</v>
      </c>
      <c r="T50" s="9" t="b">
        <f t="shared" si="2"/>
        <v>1</v>
      </c>
      <c r="U50" s="13"/>
      <c r="V50" s="13"/>
      <c r="W50" s="13"/>
      <c r="X50" s="13"/>
      <c r="Y50" s="13"/>
      <c r="Z50" s="13"/>
    </row>
    <row r="51" ht="18.0" customHeight="1">
      <c r="A51" s="5" t="s">
        <v>810</v>
      </c>
      <c r="B51" s="5" t="s">
        <v>130</v>
      </c>
      <c r="C51" s="5" t="s">
        <v>88</v>
      </c>
      <c r="D51" s="12">
        <v>45467.87372685185</v>
      </c>
      <c r="E51" s="12">
        <v>45467.95706018519</v>
      </c>
      <c r="F51" s="12">
        <v>45469.87372685185</v>
      </c>
      <c r="G51" s="12">
        <v>45473.87372685185</v>
      </c>
      <c r="H51" s="12">
        <v>45475.87372685185</v>
      </c>
      <c r="I51" s="5" t="s">
        <v>131</v>
      </c>
      <c r="J51" s="5" t="s">
        <v>100</v>
      </c>
      <c r="K51" s="5" t="s">
        <v>344</v>
      </c>
      <c r="L51" s="5" t="s">
        <v>46</v>
      </c>
      <c r="M51" s="5" t="s">
        <v>132</v>
      </c>
      <c r="N51" s="9" t="str">
        <f>IFERROR(VLOOKUP(I51,Customers!$B$2:$L$81,11,FALSE),"")</f>
        <v>EMP008</v>
      </c>
      <c r="O51" s="15">
        <f>SUMIF(OderItems!$A$2:$A$510,A51,OderItems!$L$2:$L$510)</f>
        <v>3097000</v>
      </c>
      <c r="P51" s="15">
        <f>SUMIF(OderItems!$A$2:$A$510,A51,OderItems!$G$2:$G$510)</f>
        <v>62000</v>
      </c>
      <c r="Q51" s="15">
        <f>SUMIF(OderItems!$A$2:$A$510,A51,OderItems!$K$2:$K$510)</f>
        <v>0</v>
      </c>
      <c r="R51" s="15">
        <f t="shared" si="1"/>
        <v>3159000</v>
      </c>
      <c r="S51" s="16" t="s">
        <v>79</v>
      </c>
      <c r="T51" s="9" t="b">
        <f t="shared" si="2"/>
        <v>1</v>
      </c>
      <c r="U51" s="13"/>
      <c r="V51" s="13"/>
      <c r="W51" s="13"/>
      <c r="X51" s="13"/>
      <c r="Y51" s="13"/>
      <c r="Z51" s="13"/>
    </row>
    <row r="52" ht="18.0" customHeight="1">
      <c r="A52" s="5" t="s">
        <v>812</v>
      </c>
      <c r="B52" s="5" t="s">
        <v>357</v>
      </c>
      <c r="C52" s="5" t="s">
        <v>692</v>
      </c>
      <c r="D52" s="12">
        <v>45631.12762731482</v>
      </c>
      <c r="E52" s="18"/>
      <c r="F52" s="18"/>
      <c r="G52" s="18"/>
      <c r="H52" s="12">
        <v>45639.12762731482</v>
      </c>
      <c r="I52" s="5" t="s">
        <v>358</v>
      </c>
      <c r="J52" s="5" t="s">
        <v>404</v>
      </c>
      <c r="K52" s="5" t="s">
        <v>344</v>
      </c>
      <c r="L52" s="5" t="s">
        <v>154</v>
      </c>
      <c r="M52" s="5" t="s">
        <v>151</v>
      </c>
      <c r="N52" s="9" t="str">
        <f>IFERROR(VLOOKUP(I52,Customers!$B$2:$L$81,11,FALSE),"")</f>
        <v>EMP008</v>
      </c>
      <c r="O52" s="15">
        <f>SUMIF(OderItems!$A$2:$A$510,A52,OderItems!$L$2:$L$510)</f>
        <v>2000000</v>
      </c>
      <c r="P52" s="15">
        <f>SUMIF(OderItems!$A$2:$A$510,A52,OderItems!$G$2:$G$510)</f>
        <v>31000</v>
      </c>
      <c r="Q52" s="15">
        <f>SUMIF(OderItems!$A$2:$A$510,A52,OderItems!$K$2:$K$510)</f>
        <v>0</v>
      </c>
      <c r="R52" s="15">
        <f t="shared" si="1"/>
        <v>2031000</v>
      </c>
      <c r="S52" s="16" t="s">
        <v>79</v>
      </c>
      <c r="T52" s="9" t="b">
        <f t="shared" si="2"/>
        <v>0</v>
      </c>
      <c r="U52" s="13"/>
      <c r="V52" s="13"/>
      <c r="W52" s="13"/>
      <c r="X52" s="13"/>
      <c r="Y52" s="13"/>
      <c r="Z52" s="13"/>
    </row>
    <row r="53" ht="18.0" customHeight="1">
      <c r="A53" s="5" t="s">
        <v>813</v>
      </c>
      <c r="B53" s="5" t="s">
        <v>377</v>
      </c>
      <c r="C53" s="5" t="s">
        <v>88</v>
      </c>
      <c r="D53" s="12">
        <v>46173.137974537036</v>
      </c>
      <c r="E53" s="12">
        <v>46173.22130787037</v>
      </c>
      <c r="F53" s="12">
        <v>46175.137974537036</v>
      </c>
      <c r="G53" s="12">
        <v>46179.137974537036</v>
      </c>
      <c r="H53" s="12">
        <v>46181.137974537036</v>
      </c>
      <c r="I53" s="5" t="s">
        <v>378</v>
      </c>
      <c r="J53" s="5" t="s">
        <v>100</v>
      </c>
      <c r="K53" s="5" t="s">
        <v>258</v>
      </c>
      <c r="L53" s="5" t="s">
        <v>154</v>
      </c>
      <c r="M53" s="5" t="s">
        <v>379</v>
      </c>
      <c r="N53" s="9" t="str">
        <f>IFERROR(VLOOKUP(I53,Customers!$B$2:$L$81,11,FALSE),"")</f>
        <v>EMP003</v>
      </c>
      <c r="O53" s="15">
        <f>SUMIF(OderItems!$A$2:$A$510,A53,OderItems!$L$2:$L$510)</f>
        <v>1345000</v>
      </c>
      <c r="P53" s="15">
        <f>SUMIF(OderItems!$A$2:$A$510,A53,OderItems!$G$2:$G$510)</f>
        <v>12000</v>
      </c>
      <c r="Q53" s="15">
        <f>SUMIF(OderItems!$A$2:$A$510,A53,OderItems!$K$2:$K$510)</f>
        <v>0</v>
      </c>
      <c r="R53" s="15">
        <f t="shared" si="1"/>
        <v>1357000</v>
      </c>
      <c r="S53" s="16" t="s">
        <v>79</v>
      </c>
      <c r="T53" s="9" t="b">
        <f t="shared" si="2"/>
        <v>1</v>
      </c>
      <c r="U53" s="13"/>
      <c r="V53" s="13"/>
      <c r="W53" s="13"/>
      <c r="X53" s="13"/>
      <c r="Y53" s="13"/>
      <c r="Z53" s="13"/>
    </row>
    <row r="54" ht="18.0" customHeight="1">
      <c r="A54" s="5" t="s">
        <v>815</v>
      </c>
      <c r="B54" s="5" t="s">
        <v>303</v>
      </c>
      <c r="C54" s="5" t="s">
        <v>759</v>
      </c>
      <c r="D54" s="12">
        <v>45790.63512731482</v>
      </c>
      <c r="E54" s="12">
        <v>45790.718460648146</v>
      </c>
      <c r="F54" s="12">
        <v>45792.63512731482</v>
      </c>
      <c r="G54" s="12">
        <v>45796.63512731482</v>
      </c>
      <c r="H54" s="12">
        <v>45798.63512731482</v>
      </c>
      <c r="I54" s="5" t="s">
        <v>305</v>
      </c>
      <c r="J54" s="5" t="s">
        <v>471</v>
      </c>
      <c r="K54" s="5" t="s">
        <v>102</v>
      </c>
      <c r="L54" s="5" t="s">
        <v>46</v>
      </c>
      <c r="M54" s="5" t="s">
        <v>306</v>
      </c>
      <c r="N54" s="9" t="str">
        <f>IFERROR(VLOOKUP(I54,Customers!$B$2:$L$81,11,FALSE),"")</f>
        <v>EMP002</v>
      </c>
      <c r="O54" s="15">
        <f>SUMIF(OderItems!$A$2:$A$510,A54,OderItems!$L$2:$L$510)</f>
        <v>819000</v>
      </c>
      <c r="P54" s="15">
        <f>SUMIF(OderItems!$A$2:$A$510,A54,OderItems!$G$2:$G$510)</f>
        <v>18000</v>
      </c>
      <c r="Q54" s="15">
        <f>SUMIF(OderItems!$A$2:$A$510,A54,OderItems!$K$2:$K$510)</f>
        <v>0</v>
      </c>
      <c r="R54" s="15">
        <f t="shared" si="1"/>
        <v>837000</v>
      </c>
      <c r="S54" s="16" t="s">
        <v>79</v>
      </c>
      <c r="T54" s="9" t="b">
        <f t="shared" si="2"/>
        <v>0</v>
      </c>
      <c r="U54" s="13"/>
      <c r="V54" s="13"/>
      <c r="W54" s="13"/>
      <c r="X54" s="13"/>
      <c r="Y54" s="13"/>
      <c r="Z54" s="13"/>
    </row>
    <row r="55" ht="18.0" customHeight="1">
      <c r="A55" s="5" t="s">
        <v>816</v>
      </c>
      <c r="B55" s="5" t="s">
        <v>200</v>
      </c>
      <c r="C55" s="5" t="s">
        <v>88</v>
      </c>
      <c r="D55" s="12">
        <v>45506.395902777775</v>
      </c>
      <c r="E55" s="12">
        <v>45506.47923611111</v>
      </c>
      <c r="F55" s="12">
        <v>45508.395902777775</v>
      </c>
      <c r="G55" s="12">
        <v>45512.395902777775</v>
      </c>
      <c r="H55" s="12">
        <v>45514.395902777775</v>
      </c>
      <c r="I55" s="5" t="s">
        <v>201</v>
      </c>
      <c r="J55" s="5" t="s">
        <v>471</v>
      </c>
      <c r="K55" s="5" t="s">
        <v>406</v>
      </c>
      <c r="L55" s="5" t="s">
        <v>154</v>
      </c>
      <c r="M55" s="5" t="s">
        <v>202</v>
      </c>
      <c r="N55" s="9" t="str">
        <f>IFERROR(VLOOKUP(I55,Customers!$B$2:$L$81,11,FALSE),"")</f>
        <v>EMP007</v>
      </c>
      <c r="O55" s="15">
        <f>SUMIF(OderItems!$A$2:$A$510,A55,OderItems!$L$2:$L$510)</f>
        <v>440000</v>
      </c>
      <c r="P55" s="15">
        <f>SUMIF(OderItems!$A$2:$A$510,A55,OderItems!$G$2:$G$510)</f>
        <v>7000</v>
      </c>
      <c r="Q55" s="15">
        <f>SUMIF(OderItems!$A$2:$A$510,A55,OderItems!$K$2:$K$510)</f>
        <v>0</v>
      </c>
      <c r="R55" s="15">
        <f t="shared" si="1"/>
        <v>447000</v>
      </c>
      <c r="S55" s="16" t="s">
        <v>79</v>
      </c>
      <c r="T55" s="9" t="b">
        <f t="shared" si="2"/>
        <v>1</v>
      </c>
      <c r="U55" s="13"/>
      <c r="V55" s="13"/>
      <c r="W55" s="13"/>
      <c r="X55" s="13"/>
      <c r="Y55" s="13"/>
      <c r="Z55" s="13"/>
    </row>
    <row r="56" ht="18.0" customHeight="1">
      <c r="A56" s="5" t="s">
        <v>818</v>
      </c>
      <c r="B56" s="5" t="s">
        <v>348</v>
      </c>
      <c r="C56" s="5" t="s">
        <v>88</v>
      </c>
      <c r="D56" s="12">
        <v>45779.03548611111</v>
      </c>
      <c r="E56" s="12">
        <v>45779.11881944445</v>
      </c>
      <c r="F56" s="12">
        <v>45781.03548611111</v>
      </c>
      <c r="G56" s="12">
        <v>45785.03548611111</v>
      </c>
      <c r="H56" s="12">
        <v>45787.03548611111</v>
      </c>
      <c r="I56" s="5" t="s">
        <v>349</v>
      </c>
      <c r="J56" s="5" t="s">
        <v>342</v>
      </c>
      <c r="K56" s="5" t="s">
        <v>344</v>
      </c>
      <c r="L56" s="5" t="s">
        <v>154</v>
      </c>
      <c r="M56" s="5" t="s">
        <v>202</v>
      </c>
      <c r="N56" s="9" t="str">
        <f>IFERROR(VLOOKUP(I56,Customers!$B$2:$L$81,11,FALSE),"")</f>
        <v>EMP007</v>
      </c>
      <c r="O56" s="15">
        <f>SUMIF(OderItems!$A$2:$A$510,A56,OderItems!$L$2:$L$510)</f>
        <v>980000</v>
      </c>
      <c r="P56" s="15">
        <f>SUMIF(OderItems!$A$2:$A$510,A56,OderItems!$G$2:$G$510)</f>
        <v>16000</v>
      </c>
      <c r="Q56" s="15">
        <f>SUMIF(OderItems!$A$2:$A$510,A56,OderItems!$K$2:$K$510)</f>
        <v>0</v>
      </c>
      <c r="R56" s="15">
        <f t="shared" si="1"/>
        <v>996000</v>
      </c>
      <c r="S56" s="16" t="s">
        <v>79</v>
      </c>
      <c r="T56" s="9" t="b">
        <f t="shared" si="2"/>
        <v>1</v>
      </c>
      <c r="U56" s="13"/>
      <c r="V56" s="13"/>
      <c r="W56" s="13"/>
      <c r="X56" s="13"/>
      <c r="Y56" s="13"/>
      <c r="Z56" s="13"/>
    </row>
    <row r="57" ht="18.0" customHeight="1">
      <c r="A57" s="5" t="s">
        <v>819</v>
      </c>
      <c r="B57" s="5" t="s">
        <v>329</v>
      </c>
      <c r="C57" s="5" t="s">
        <v>88</v>
      </c>
      <c r="D57" s="12">
        <v>45359.12917824074</v>
      </c>
      <c r="E57" s="12">
        <v>45359.21251157407</v>
      </c>
      <c r="F57" s="12">
        <v>45361.12917824074</v>
      </c>
      <c r="G57" s="12">
        <v>45365.12917824074</v>
      </c>
      <c r="H57" s="12">
        <v>45367.12917824074</v>
      </c>
      <c r="I57" s="5" t="s">
        <v>330</v>
      </c>
      <c r="J57" s="5" t="s">
        <v>342</v>
      </c>
      <c r="K57" s="5" t="s">
        <v>406</v>
      </c>
      <c r="L57" s="5" t="s">
        <v>154</v>
      </c>
      <c r="M57" s="5" t="s">
        <v>215</v>
      </c>
      <c r="N57" s="9" t="str">
        <f>IFERROR(VLOOKUP(I57,Customers!$B$2:$L$81,11,FALSE),"")</f>
        <v>EMP005</v>
      </c>
      <c r="O57" s="15">
        <f>SUMIF(OderItems!$A$2:$A$510,A57,OderItems!$L$2:$L$510)</f>
        <v>1385000</v>
      </c>
      <c r="P57" s="15">
        <f>SUMIF(OderItems!$A$2:$A$510,A57,OderItems!$G$2:$G$510)</f>
        <v>26000</v>
      </c>
      <c r="Q57" s="15">
        <f>SUMIF(OderItems!$A$2:$A$510,A57,OderItems!$K$2:$K$510)</f>
        <v>0</v>
      </c>
      <c r="R57" s="15">
        <f t="shared" si="1"/>
        <v>1411000</v>
      </c>
      <c r="S57" s="16" t="s">
        <v>79</v>
      </c>
      <c r="T57" s="9" t="b">
        <f t="shared" si="2"/>
        <v>1</v>
      </c>
      <c r="U57" s="13"/>
      <c r="V57" s="13"/>
      <c r="W57" s="13"/>
      <c r="X57" s="13"/>
      <c r="Y57" s="13"/>
      <c r="Z57" s="13"/>
    </row>
    <row r="58" ht="18.0" customHeight="1">
      <c r="A58" s="5" t="s">
        <v>821</v>
      </c>
      <c r="B58" s="5" t="s">
        <v>228</v>
      </c>
      <c r="C58" s="5" t="s">
        <v>88</v>
      </c>
      <c r="D58" s="12">
        <v>45937.754907407405</v>
      </c>
      <c r="E58" s="12">
        <v>45937.83824074074</v>
      </c>
      <c r="F58" s="12">
        <v>45939.754907407405</v>
      </c>
      <c r="G58" s="12">
        <v>45943.754907407405</v>
      </c>
      <c r="H58" s="12">
        <v>45945.754907407405</v>
      </c>
      <c r="I58" s="5" t="s">
        <v>229</v>
      </c>
      <c r="J58" s="5" t="s">
        <v>100</v>
      </c>
      <c r="K58" s="5" t="s">
        <v>406</v>
      </c>
      <c r="L58" s="5" t="s">
        <v>154</v>
      </c>
      <c r="M58" s="5" t="s">
        <v>202</v>
      </c>
      <c r="N58" s="9" t="str">
        <f>IFERROR(VLOOKUP(I58,Customers!$B$2:$L$81,11,FALSE),"")</f>
        <v>EMP002</v>
      </c>
      <c r="O58" s="15">
        <f>SUMIF(OderItems!$A$2:$A$510,A58,OderItems!$L$2:$L$510)</f>
        <v>2380000</v>
      </c>
      <c r="P58" s="15">
        <f>SUMIF(OderItems!$A$2:$A$510,A58,OderItems!$G$2:$G$510)</f>
        <v>48000</v>
      </c>
      <c r="Q58" s="15">
        <f>SUMIF(OderItems!$A$2:$A$510,A58,OderItems!$K$2:$K$510)</f>
        <v>0</v>
      </c>
      <c r="R58" s="15">
        <f t="shared" si="1"/>
        <v>2428000</v>
      </c>
      <c r="S58" s="16" t="s">
        <v>79</v>
      </c>
      <c r="T58" s="9" t="b">
        <f t="shared" si="2"/>
        <v>1</v>
      </c>
      <c r="U58" s="13"/>
      <c r="V58" s="13"/>
      <c r="W58" s="13"/>
      <c r="X58" s="13"/>
      <c r="Y58" s="13"/>
      <c r="Z58" s="13"/>
    </row>
    <row r="59" ht="18.0" customHeight="1">
      <c r="A59" s="5" t="s">
        <v>823</v>
      </c>
      <c r="B59" s="5" t="s">
        <v>498</v>
      </c>
      <c r="C59" s="5" t="s">
        <v>88</v>
      </c>
      <c r="D59" s="12">
        <v>45679.50015046296</v>
      </c>
      <c r="E59" s="12">
        <v>45679.5834837963</v>
      </c>
      <c r="F59" s="12">
        <v>45681.50015046296</v>
      </c>
      <c r="G59" s="12">
        <v>45685.50015046296</v>
      </c>
      <c r="H59" s="12">
        <v>45687.50015046296</v>
      </c>
      <c r="I59" s="5" t="s">
        <v>499</v>
      </c>
      <c r="J59" s="5" t="s">
        <v>471</v>
      </c>
      <c r="K59" s="5" t="s">
        <v>102</v>
      </c>
      <c r="L59" s="5" t="s">
        <v>154</v>
      </c>
      <c r="M59" s="5" t="s">
        <v>215</v>
      </c>
      <c r="N59" s="9" t="str">
        <f>IFERROR(VLOOKUP(I59,Customers!$B$2:$L$81,11,FALSE),"")</f>
        <v>EMP002</v>
      </c>
      <c r="O59" s="15">
        <f>SUMIF(OderItems!$A$2:$A$510,A59,OderItems!$L$2:$L$510)</f>
        <v>3000000</v>
      </c>
      <c r="P59" s="15">
        <f>SUMIF(OderItems!$A$2:$A$510,A59,OderItems!$G$2:$G$510)</f>
        <v>39000</v>
      </c>
      <c r="Q59" s="15">
        <f>SUMIF(OderItems!$A$2:$A$510,A59,OderItems!$K$2:$K$510)</f>
        <v>0</v>
      </c>
      <c r="R59" s="15">
        <f t="shared" si="1"/>
        <v>3039000</v>
      </c>
      <c r="S59" s="16" t="s">
        <v>79</v>
      </c>
      <c r="T59" s="9" t="b">
        <f t="shared" si="2"/>
        <v>1</v>
      </c>
      <c r="U59" s="13"/>
      <c r="V59" s="13"/>
      <c r="W59" s="13"/>
      <c r="X59" s="13"/>
      <c r="Y59" s="13"/>
      <c r="Z59" s="13"/>
    </row>
    <row r="60" ht="18.0" customHeight="1">
      <c r="A60" s="5" t="s">
        <v>824</v>
      </c>
      <c r="B60" s="5" t="s">
        <v>181</v>
      </c>
      <c r="C60" s="5" t="s">
        <v>88</v>
      </c>
      <c r="D60" s="12">
        <v>46148.1156712963</v>
      </c>
      <c r="E60" s="12">
        <v>46148.19900462963</v>
      </c>
      <c r="F60" s="12">
        <v>46150.1156712963</v>
      </c>
      <c r="G60" s="12">
        <v>46154.1156712963</v>
      </c>
      <c r="H60" s="12">
        <v>46156.1156712963</v>
      </c>
      <c r="I60" s="5" t="s">
        <v>182</v>
      </c>
      <c r="J60" s="5" t="s">
        <v>342</v>
      </c>
      <c r="K60" s="5" t="s">
        <v>344</v>
      </c>
      <c r="L60" s="5" t="s">
        <v>46</v>
      </c>
      <c r="M60" s="5" t="s">
        <v>39</v>
      </c>
      <c r="N60" s="9" t="str">
        <f>IFERROR(VLOOKUP(I60,Customers!$B$2:$L$81,11,FALSE),"")</f>
        <v>EMP005</v>
      </c>
      <c r="O60" s="15">
        <f>SUMIF(OderItems!$A$2:$A$510,A60,OderItems!$L$2:$L$510)</f>
        <v>702000</v>
      </c>
      <c r="P60" s="15">
        <f>SUMIF(OderItems!$A$2:$A$510,A60,OderItems!$G$2:$G$510)</f>
        <v>15000</v>
      </c>
      <c r="Q60" s="15">
        <f>SUMIF(OderItems!$A$2:$A$510,A60,OderItems!$K$2:$K$510)</f>
        <v>0</v>
      </c>
      <c r="R60" s="15">
        <f t="shared" si="1"/>
        <v>717000</v>
      </c>
      <c r="S60" s="16" t="s">
        <v>79</v>
      </c>
      <c r="T60" s="9" t="b">
        <f t="shared" si="2"/>
        <v>1</v>
      </c>
      <c r="U60" s="13"/>
      <c r="V60" s="13"/>
      <c r="W60" s="13"/>
      <c r="X60" s="13"/>
      <c r="Y60" s="13"/>
      <c r="Z60" s="13"/>
    </row>
    <row r="61" ht="18.0" customHeight="1">
      <c r="A61" s="5" t="s">
        <v>826</v>
      </c>
      <c r="B61" s="5" t="s">
        <v>519</v>
      </c>
      <c r="C61" s="5" t="s">
        <v>692</v>
      </c>
      <c r="D61" s="12">
        <v>46127.36665509259</v>
      </c>
      <c r="E61" s="18"/>
      <c r="F61" s="18"/>
      <c r="G61" s="18"/>
      <c r="H61" s="12">
        <v>46135.36665509259</v>
      </c>
      <c r="I61" s="5" t="s">
        <v>520</v>
      </c>
      <c r="J61" s="5" t="s">
        <v>404</v>
      </c>
      <c r="K61" s="5" t="s">
        <v>258</v>
      </c>
      <c r="L61" s="5" t="s">
        <v>46</v>
      </c>
      <c r="M61" s="5" t="s">
        <v>192</v>
      </c>
      <c r="N61" s="9" t="str">
        <f>IFERROR(VLOOKUP(I61,Customers!$B$2:$L$81,11,FALSE),"")</f>
        <v>EMP005</v>
      </c>
      <c r="O61" s="15">
        <f>SUMIF(OderItems!$A$2:$A$510,A61,OderItems!$L$2:$L$510)</f>
        <v>2171000</v>
      </c>
      <c r="P61" s="15">
        <f>SUMIF(OderItems!$A$2:$A$510,A61,OderItems!$G$2:$G$510)</f>
        <v>38000</v>
      </c>
      <c r="Q61" s="15">
        <f>SUMIF(OderItems!$A$2:$A$510,A61,OderItems!$K$2:$K$510)</f>
        <v>0</v>
      </c>
      <c r="R61" s="15">
        <f t="shared" si="1"/>
        <v>2209000</v>
      </c>
      <c r="S61" s="16" t="s">
        <v>79</v>
      </c>
      <c r="T61" s="9" t="b">
        <f t="shared" si="2"/>
        <v>0</v>
      </c>
      <c r="U61" s="13"/>
      <c r="V61" s="13"/>
      <c r="W61" s="13"/>
      <c r="X61" s="13"/>
      <c r="Y61" s="13"/>
      <c r="Z61" s="13"/>
    </row>
    <row r="62" ht="18.0" customHeight="1">
      <c r="A62" s="5" t="s">
        <v>827</v>
      </c>
      <c r="B62" s="5" t="s">
        <v>511</v>
      </c>
      <c r="C62" s="5" t="s">
        <v>88</v>
      </c>
      <c r="D62" s="12">
        <v>45769.128275462965</v>
      </c>
      <c r="E62" s="12">
        <v>45769.21160879629</v>
      </c>
      <c r="F62" s="12">
        <v>45771.128275462965</v>
      </c>
      <c r="G62" s="12">
        <v>45775.128275462965</v>
      </c>
      <c r="H62" s="12">
        <v>45777.128275462965</v>
      </c>
      <c r="I62" s="5" t="s">
        <v>512</v>
      </c>
      <c r="J62" s="5" t="s">
        <v>471</v>
      </c>
      <c r="K62" s="5" t="s">
        <v>406</v>
      </c>
      <c r="L62" s="5" t="s">
        <v>154</v>
      </c>
      <c r="M62" s="5" t="s">
        <v>151</v>
      </c>
      <c r="N62" s="9" t="str">
        <f>IFERROR(VLOOKUP(I62,Customers!$B$2:$L$81,11,FALSE),"")</f>
        <v>EMP004</v>
      </c>
      <c r="O62" s="15">
        <f>SUMIF(OderItems!$A$2:$A$510,A62,OderItems!$L$2:$L$510)</f>
        <v>1839000</v>
      </c>
      <c r="P62" s="15">
        <f>SUMIF(OderItems!$A$2:$A$510,A62,OderItems!$G$2:$G$510)</f>
        <v>50000</v>
      </c>
      <c r="Q62" s="15">
        <f>SUMIF(OderItems!$A$2:$A$510,A62,OderItems!$K$2:$K$510)</f>
        <v>0</v>
      </c>
      <c r="R62" s="15">
        <f t="shared" si="1"/>
        <v>1889000</v>
      </c>
      <c r="S62" s="16" t="s">
        <v>79</v>
      </c>
      <c r="T62" s="9" t="b">
        <f t="shared" si="2"/>
        <v>1</v>
      </c>
      <c r="U62" s="13"/>
      <c r="V62" s="13"/>
      <c r="W62" s="13"/>
      <c r="X62" s="13"/>
      <c r="Y62" s="13"/>
      <c r="Z62" s="13"/>
    </row>
    <row r="63" ht="18.0" customHeight="1">
      <c r="A63" s="5" t="s">
        <v>829</v>
      </c>
      <c r="B63" s="5" t="s">
        <v>30</v>
      </c>
      <c r="C63" s="5" t="s">
        <v>692</v>
      </c>
      <c r="D63" s="12">
        <v>45929.419699074075</v>
      </c>
      <c r="E63" s="18"/>
      <c r="F63" s="18"/>
      <c r="G63" s="18"/>
      <c r="H63" s="12">
        <v>45937.419699074075</v>
      </c>
      <c r="I63" s="5" t="s">
        <v>36</v>
      </c>
      <c r="J63" s="5" t="s">
        <v>100</v>
      </c>
      <c r="K63" s="5" t="s">
        <v>344</v>
      </c>
      <c r="L63" s="5" t="s">
        <v>46</v>
      </c>
      <c r="M63" s="5" t="s">
        <v>39</v>
      </c>
      <c r="N63" s="9" t="str">
        <f>IFERROR(VLOOKUP(I63,Customers!$B$2:$L$81,11,FALSE),"")</f>
        <v>EMP001</v>
      </c>
      <c r="O63" s="15">
        <f>SUMIF(OderItems!$A$2:$A$510,A63,OderItems!$L$2:$L$510)</f>
        <v>2300000</v>
      </c>
      <c r="P63" s="15">
        <f>SUMIF(OderItems!$A$2:$A$510,A63,OderItems!$G$2:$G$510)</f>
        <v>29000</v>
      </c>
      <c r="Q63" s="15">
        <f>SUMIF(OderItems!$A$2:$A$510,A63,OderItems!$K$2:$K$510)</f>
        <v>0</v>
      </c>
      <c r="R63" s="15">
        <f t="shared" si="1"/>
        <v>2329000</v>
      </c>
      <c r="S63" s="16" t="s">
        <v>79</v>
      </c>
      <c r="T63" s="9" t="b">
        <f t="shared" si="2"/>
        <v>0</v>
      </c>
      <c r="U63" s="13"/>
      <c r="V63" s="13"/>
      <c r="W63" s="13"/>
      <c r="X63" s="13"/>
      <c r="Y63" s="13"/>
      <c r="Z63" s="13"/>
    </row>
    <row r="64" ht="18.0" customHeight="1">
      <c r="A64" s="5" t="s">
        <v>830</v>
      </c>
      <c r="B64" s="5" t="s">
        <v>181</v>
      </c>
      <c r="C64" s="5" t="s">
        <v>751</v>
      </c>
      <c r="D64" s="12">
        <v>45824.21811342592</v>
      </c>
      <c r="E64" s="12">
        <v>45824.30144675926</v>
      </c>
      <c r="F64" s="18"/>
      <c r="G64" s="18"/>
      <c r="H64" s="12">
        <v>45832.21811342592</v>
      </c>
      <c r="I64" s="5" t="s">
        <v>182</v>
      </c>
      <c r="J64" s="5" t="s">
        <v>471</v>
      </c>
      <c r="K64" s="5" t="s">
        <v>344</v>
      </c>
      <c r="L64" s="5" t="s">
        <v>46</v>
      </c>
      <c r="M64" s="5" t="s">
        <v>39</v>
      </c>
      <c r="N64" s="9" t="str">
        <f>IFERROR(VLOOKUP(I64,Customers!$B$2:$L$81,11,FALSE),"")</f>
        <v>EMP005</v>
      </c>
      <c r="O64" s="15">
        <f>SUMIF(OderItems!$A$2:$A$510,A64,OderItems!$L$2:$L$510)</f>
        <v>2884000</v>
      </c>
      <c r="P64" s="15">
        <f>SUMIF(OderItems!$A$2:$A$510,A64,OderItems!$G$2:$G$510)</f>
        <v>53000</v>
      </c>
      <c r="Q64" s="15">
        <f>SUMIF(OderItems!$A$2:$A$510,A64,OderItems!$K$2:$K$510)</f>
        <v>0</v>
      </c>
      <c r="R64" s="15">
        <f t="shared" si="1"/>
        <v>2937000</v>
      </c>
      <c r="S64" s="16" t="s">
        <v>79</v>
      </c>
      <c r="T64" s="9" t="b">
        <f t="shared" si="2"/>
        <v>0</v>
      </c>
      <c r="U64" s="13"/>
      <c r="V64" s="13"/>
      <c r="W64" s="13"/>
      <c r="X64" s="13"/>
      <c r="Y64" s="13"/>
      <c r="Z64" s="13"/>
    </row>
    <row r="65" ht="18.0" customHeight="1">
      <c r="A65" s="5" t="s">
        <v>832</v>
      </c>
      <c r="B65" s="5" t="s">
        <v>474</v>
      </c>
      <c r="C65" s="5" t="s">
        <v>759</v>
      </c>
      <c r="D65" s="12">
        <v>45688.996666666666</v>
      </c>
      <c r="E65" s="12">
        <v>45689.08</v>
      </c>
      <c r="F65" s="12">
        <v>45690.996666666666</v>
      </c>
      <c r="G65" s="12">
        <v>45694.996666666666</v>
      </c>
      <c r="H65" s="12">
        <v>45696.996666666666</v>
      </c>
      <c r="I65" s="5" t="s">
        <v>475</v>
      </c>
      <c r="J65" s="5" t="s">
        <v>342</v>
      </c>
      <c r="K65" s="5" t="s">
        <v>102</v>
      </c>
      <c r="L65" s="5" t="s">
        <v>74</v>
      </c>
      <c r="M65" s="5" t="s">
        <v>123</v>
      </c>
      <c r="N65" s="9" t="str">
        <f>IFERROR(VLOOKUP(I65,Customers!$B$2:$L$81,11,FALSE),"")</f>
        <v>EMP007</v>
      </c>
      <c r="O65" s="15">
        <f>SUMIF(OderItems!$A$2:$A$510,A65,OderItems!$L$2:$L$510)</f>
        <v>2352000</v>
      </c>
      <c r="P65" s="15">
        <f>SUMIF(OderItems!$A$2:$A$510,A65,OderItems!$G$2:$G$510)</f>
        <v>29000</v>
      </c>
      <c r="Q65" s="15">
        <f>SUMIF(OderItems!$A$2:$A$510,A65,OderItems!$K$2:$K$510)</f>
        <v>0</v>
      </c>
      <c r="R65" s="15">
        <f t="shared" si="1"/>
        <v>2381000</v>
      </c>
      <c r="S65" s="16" t="s">
        <v>79</v>
      </c>
      <c r="T65" s="9" t="b">
        <f t="shared" si="2"/>
        <v>0</v>
      </c>
      <c r="U65" s="13"/>
      <c r="V65" s="13"/>
      <c r="W65" s="13"/>
      <c r="X65" s="13"/>
      <c r="Y65" s="13"/>
      <c r="Z65" s="13"/>
    </row>
    <row r="66" ht="18.0" customHeight="1">
      <c r="A66" s="5" t="s">
        <v>833</v>
      </c>
      <c r="B66" s="5" t="s">
        <v>357</v>
      </c>
      <c r="C66" s="5" t="s">
        <v>88</v>
      </c>
      <c r="D66" s="12">
        <v>45519.93486111111</v>
      </c>
      <c r="E66" s="12">
        <v>45520.01819444444</v>
      </c>
      <c r="F66" s="12">
        <v>45521.93486111111</v>
      </c>
      <c r="G66" s="12">
        <v>45525.93486111111</v>
      </c>
      <c r="H66" s="12">
        <v>45527.93486111111</v>
      </c>
      <c r="I66" s="5" t="s">
        <v>358</v>
      </c>
      <c r="J66" s="5" t="s">
        <v>404</v>
      </c>
      <c r="K66" s="5" t="s">
        <v>406</v>
      </c>
      <c r="L66" s="5" t="s">
        <v>154</v>
      </c>
      <c r="M66" s="5" t="s">
        <v>151</v>
      </c>
      <c r="N66" s="9" t="str">
        <f>IFERROR(VLOOKUP(I66,Customers!$B$2:$L$81,11,FALSE),"")</f>
        <v>EMP008</v>
      </c>
      <c r="O66" s="15">
        <f>SUMIF(OderItems!$A$2:$A$510,A66,OderItems!$L$2:$L$510)</f>
        <v>851000</v>
      </c>
      <c r="P66" s="15">
        <f>SUMIF(OderItems!$A$2:$A$510,A66,OderItems!$G$2:$G$510)</f>
        <v>28000</v>
      </c>
      <c r="Q66" s="15">
        <f>SUMIF(OderItems!$A$2:$A$510,A66,OderItems!$K$2:$K$510)</f>
        <v>0</v>
      </c>
      <c r="R66" s="15">
        <f t="shared" si="1"/>
        <v>879000</v>
      </c>
      <c r="S66" s="16" t="s">
        <v>79</v>
      </c>
      <c r="T66" s="9" t="b">
        <f t="shared" si="2"/>
        <v>1</v>
      </c>
      <c r="U66" s="13"/>
      <c r="V66" s="13"/>
      <c r="W66" s="13"/>
      <c r="X66" s="13"/>
      <c r="Y66" s="13"/>
      <c r="Z66" s="13"/>
    </row>
    <row r="67" ht="18.0" customHeight="1">
      <c r="A67" s="5" t="s">
        <v>835</v>
      </c>
      <c r="B67" s="5" t="s">
        <v>551</v>
      </c>
      <c r="C67" s="5" t="s">
        <v>88</v>
      </c>
      <c r="D67" s="12">
        <v>45905.01603009259</v>
      </c>
      <c r="E67" s="12">
        <v>45905.09936342593</v>
      </c>
      <c r="F67" s="12">
        <v>45907.01603009259</v>
      </c>
      <c r="G67" s="12">
        <v>45911.01603009259</v>
      </c>
      <c r="H67" s="12">
        <v>45913.01603009259</v>
      </c>
      <c r="I67" s="5" t="s">
        <v>552</v>
      </c>
      <c r="J67" s="5" t="s">
        <v>100</v>
      </c>
      <c r="K67" s="5" t="s">
        <v>258</v>
      </c>
      <c r="L67" s="5" t="s">
        <v>46</v>
      </c>
      <c r="M67" s="5" t="s">
        <v>553</v>
      </c>
      <c r="N67" s="9" t="str">
        <f>IFERROR(VLOOKUP(I67,Customers!$B$2:$L$81,11,FALSE),"")</f>
        <v>EMP002</v>
      </c>
      <c r="O67" s="15">
        <f>SUMIF(OderItems!$A$2:$A$510,A67,OderItems!$L$2:$L$510)</f>
        <v>1368000</v>
      </c>
      <c r="P67" s="15">
        <f>SUMIF(OderItems!$A$2:$A$510,A67,OderItems!$G$2:$G$510)</f>
        <v>34000</v>
      </c>
      <c r="Q67" s="15">
        <f>SUMIF(OderItems!$A$2:$A$510,A67,OderItems!$K$2:$K$510)</f>
        <v>0</v>
      </c>
      <c r="R67" s="15">
        <f t="shared" si="1"/>
        <v>1402000</v>
      </c>
      <c r="S67" s="16" t="s">
        <v>79</v>
      </c>
      <c r="T67" s="9" t="b">
        <f t="shared" si="2"/>
        <v>1</v>
      </c>
      <c r="U67" s="13"/>
      <c r="V67" s="13"/>
      <c r="W67" s="13"/>
      <c r="X67" s="13"/>
      <c r="Y67" s="13"/>
      <c r="Z67" s="13"/>
    </row>
    <row r="68" ht="18.0" customHeight="1">
      <c r="A68" s="5" t="s">
        <v>836</v>
      </c>
      <c r="B68" s="5" t="s">
        <v>169</v>
      </c>
      <c r="C68" s="5" t="s">
        <v>88</v>
      </c>
      <c r="D68" s="12">
        <v>45981.436111111114</v>
      </c>
      <c r="E68" s="12">
        <v>45981.51944444444</v>
      </c>
      <c r="F68" s="12">
        <v>45983.436111111114</v>
      </c>
      <c r="G68" s="12">
        <v>45987.436111111114</v>
      </c>
      <c r="H68" s="12">
        <v>45989.436111111114</v>
      </c>
      <c r="I68" s="5" t="s">
        <v>170</v>
      </c>
      <c r="J68" s="5" t="s">
        <v>471</v>
      </c>
      <c r="K68" s="5" t="s">
        <v>344</v>
      </c>
      <c r="L68" s="5" t="s">
        <v>74</v>
      </c>
      <c r="M68" s="5" t="s">
        <v>171</v>
      </c>
      <c r="N68" s="9" t="str">
        <f>IFERROR(VLOOKUP(I68,Customers!$B$2:$L$81,11,FALSE),"")</f>
        <v>EMP004</v>
      </c>
      <c r="O68" s="15">
        <f>SUMIF(OderItems!$A$2:$A$510,A68,OderItems!$L$2:$L$510)</f>
        <v>2309000</v>
      </c>
      <c r="P68" s="15">
        <f>SUMIF(OderItems!$A$2:$A$510,A68,OderItems!$G$2:$G$510)</f>
        <v>42000</v>
      </c>
      <c r="Q68" s="15">
        <f>SUMIF(OderItems!$A$2:$A$510,A68,OderItems!$K$2:$K$510)</f>
        <v>0</v>
      </c>
      <c r="R68" s="15">
        <f t="shared" si="1"/>
        <v>2351000</v>
      </c>
      <c r="S68" s="16" t="s">
        <v>79</v>
      </c>
      <c r="T68" s="9" t="b">
        <f t="shared" si="2"/>
        <v>1</v>
      </c>
      <c r="U68" s="13"/>
      <c r="V68" s="13"/>
      <c r="W68" s="13"/>
      <c r="X68" s="13"/>
      <c r="Y68" s="13"/>
      <c r="Z68" s="13"/>
    </row>
    <row r="69" ht="18.0" customHeight="1">
      <c r="A69" s="5" t="s">
        <v>838</v>
      </c>
      <c r="B69" s="5" t="s">
        <v>284</v>
      </c>
      <c r="C69" s="5" t="s">
        <v>88</v>
      </c>
      <c r="D69" s="12">
        <v>45489.725</v>
      </c>
      <c r="E69" s="12">
        <v>45489.808333333334</v>
      </c>
      <c r="F69" s="12">
        <v>45491.725</v>
      </c>
      <c r="G69" s="12">
        <v>45495.725</v>
      </c>
      <c r="H69" s="12">
        <v>45497.725</v>
      </c>
      <c r="I69" s="5" t="s">
        <v>285</v>
      </c>
      <c r="J69" s="5" t="s">
        <v>471</v>
      </c>
      <c r="K69" s="5" t="s">
        <v>102</v>
      </c>
      <c r="L69" s="5" t="s">
        <v>74</v>
      </c>
      <c r="M69" s="5" t="s">
        <v>287</v>
      </c>
      <c r="N69" s="9" t="str">
        <f>IFERROR(VLOOKUP(I69,Customers!$B$2:$L$81,11,FALSE),"")</f>
        <v>EMP008</v>
      </c>
      <c r="O69" s="15">
        <f>SUMIF(OderItems!$A$2:$A$510,A69,OderItems!$L$2:$L$510)</f>
        <v>1215000</v>
      </c>
      <c r="P69" s="15">
        <f>SUMIF(OderItems!$A$2:$A$510,A69,OderItems!$G$2:$G$510)</f>
        <v>28000</v>
      </c>
      <c r="Q69" s="15">
        <f>SUMIF(OderItems!$A$2:$A$510,A69,OderItems!$K$2:$K$510)</f>
        <v>0</v>
      </c>
      <c r="R69" s="15">
        <f t="shared" si="1"/>
        <v>1243000</v>
      </c>
      <c r="S69" s="16" t="s">
        <v>79</v>
      </c>
      <c r="T69" s="9" t="b">
        <f t="shared" si="2"/>
        <v>1</v>
      </c>
      <c r="U69" s="13"/>
      <c r="V69" s="13"/>
      <c r="W69" s="13"/>
      <c r="X69" s="13"/>
      <c r="Y69" s="13"/>
      <c r="Z69" s="13"/>
    </row>
    <row r="70" ht="18.0" customHeight="1">
      <c r="A70" s="5" t="s">
        <v>839</v>
      </c>
      <c r="B70" s="5" t="s">
        <v>67</v>
      </c>
      <c r="C70" s="5" t="s">
        <v>88</v>
      </c>
      <c r="D70" s="12">
        <v>46165.921585648146</v>
      </c>
      <c r="E70" s="12">
        <v>46166.00491898148</v>
      </c>
      <c r="F70" s="12">
        <v>46167.921585648146</v>
      </c>
      <c r="G70" s="12">
        <v>46171.921585648146</v>
      </c>
      <c r="H70" s="12">
        <v>46173.921585648146</v>
      </c>
      <c r="I70" s="5" t="s">
        <v>68</v>
      </c>
      <c r="J70" s="5" t="s">
        <v>471</v>
      </c>
      <c r="K70" s="5" t="s">
        <v>344</v>
      </c>
      <c r="L70" s="5" t="s">
        <v>74</v>
      </c>
      <c r="M70" s="5" t="s">
        <v>70</v>
      </c>
      <c r="N70" s="9" t="str">
        <f>IFERROR(VLOOKUP(I70,Customers!$B$2:$L$81,11,FALSE),"")</f>
        <v>EMP002</v>
      </c>
      <c r="O70" s="15">
        <f>SUMIF(OderItems!$A$2:$A$510,A70,OderItems!$L$2:$L$510)</f>
        <v>2277000</v>
      </c>
      <c r="P70" s="15">
        <f>SUMIF(OderItems!$A$2:$A$510,A70,OderItems!$G$2:$G$510)</f>
        <v>38000</v>
      </c>
      <c r="Q70" s="15">
        <f>SUMIF(OderItems!$A$2:$A$510,A70,OderItems!$K$2:$K$510)</f>
        <v>0</v>
      </c>
      <c r="R70" s="15">
        <f t="shared" si="1"/>
        <v>2315000</v>
      </c>
      <c r="S70" s="16" t="s">
        <v>79</v>
      </c>
      <c r="T70" s="9" t="b">
        <f t="shared" si="2"/>
        <v>1</v>
      </c>
      <c r="U70" s="13"/>
      <c r="V70" s="13"/>
      <c r="W70" s="13"/>
      <c r="X70" s="13"/>
      <c r="Y70" s="13"/>
      <c r="Z70" s="13"/>
    </row>
    <row r="71" ht="18.0" customHeight="1">
      <c r="A71" s="5" t="s">
        <v>841</v>
      </c>
      <c r="B71" s="5" t="s">
        <v>113</v>
      </c>
      <c r="C71" s="5" t="s">
        <v>88</v>
      </c>
      <c r="D71" s="12">
        <v>46160.59599537037</v>
      </c>
      <c r="E71" s="12">
        <v>46160.67932870371</v>
      </c>
      <c r="F71" s="12">
        <v>46162.59599537037</v>
      </c>
      <c r="G71" s="12">
        <v>46166.59599537037</v>
      </c>
      <c r="H71" s="12">
        <v>46168.59599537037</v>
      </c>
      <c r="I71" s="5" t="s">
        <v>114</v>
      </c>
      <c r="J71" s="5" t="s">
        <v>404</v>
      </c>
      <c r="K71" s="5" t="s">
        <v>406</v>
      </c>
      <c r="L71" s="5" t="s">
        <v>74</v>
      </c>
      <c r="M71" s="5" t="s">
        <v>96</v>
      </c>
      <c r="N71" s="9" t="str">
        <f>IFERROR(VLOOKUP(I71,Customers!$B$2:$L$81,11,FALSE),"")</f>
        <v>EMP006</v>
      </c>
      <c r="O71" s="15">
        <f>SUMIF(OderItems!$A$2:$A$510,A71,OderItems!$L$2:$L$510)</f>
        <v>1263000</v>
      </c>
      <c r="P71" s="15">
        <f>SUMIF(OderItems!$A$2:$A$510,A71,OderItems!$G$2:$G$510)</f>
        <v>22000</v>
      </c>
      <c r="Q71" s="15">
        <f>SUMIF(OderItems!$A$2:$A$510,A71,OderItems!$K$2:$K$510)</f>
        <v>0</v>
      </c>
      <c r="R71" s="15">
        <f t="shared" si="1"/>
        <v>1285000</v>
      </c>
      <c r="S71" s="16" t="s">
        <v>79</v>
      </c>
      <c r="T71" s="9" t="b">
        <f t="shared" si="2"/>
        <v>1</v>
      </c>
      <c r="U71" s="13"/>
      <c r="V71" s="13"/>
      <c r="W71" s="13"/>
      <c r="X71" s="13"/>
      <c r="Y71" s="13"/>
      <c r="Z71" s="13"/>
    </row>
    <row r="72" ht="18.0" customHeight="1">
      <c r="A72" s="5" t="s">
        <v>842</v>
      </c>
      <c r="B72" s="5" t="s">
        <v>474</v>
      </c>
      <c r="C72" s="5" t="s">
        <v>88</v>
      </c>
      <c r="D72" s="12">
        <v>45330.51761574074</v>
      </c>
      <c r="E72" s="12">
        <v>45330.600949074076</v>
      </c>
      <c r="F72" s="12">
        <v>45332.51761574074</v>
      </c>
      <c r="G72" s="12">
        <v>45336.51761574074</v>
      </c>
      <c r="H72" s="12">
        <v>45338.51761574074</v>
      </c>
      <c r="I72" s="5" t="s">
        <v>475</v>
      </c>
      <c r="J72" s="5" t="s">
        <v>404</v>
      </c>
      <c r="K72" s="5" t="s">
        <v>406</v>
      </c>
      <c r="L72" s="5" t="s">
        <v>74</v>
      </c>
      <c r="M72" s="5" t="s">
        <v>123</v>
      </c>
      <c r="N72" s="9" t="str">
        <f>IFERROR(VLOOKUP(I72,Customers!$B$2:$L$81,11,FALSE),"")</f>
        <v>EMP007</v>
      </c>
      <c r="O72" s="15">
        <f>SUMIF(OderItems!$A$2:$A$510,A72,OderItems!$L$2:$L$510)</f>
        <v>1976000</v>
      </c>
      <c r="P72" s="15">
        <f>SUMIF(OderItems!$A$2:$A$510,A72,OderItems!$G$2:$G$510)</f>
        <v>25000</v>
      </c>
      <c r="Q72" s="15">
        <f>SUMIF(OderItems!$A$2:$A$510,A72,OderItems!$K$2:$K$510)</f>
        <v>0</v>
      </c>
      <c r="R72" s="15">
        <f t="shared" si="1"/>
        <v>2001000</v>
      </c>
      <c r="S72" s="16" t="s">
        <v>79</v>
      </c>
      <c r="T72" s="9" t="b">
        <f t="shared" si="2"/>
        <v>1</v>
      </c>
      <c r="U72" s="13"/>
      <c r="V72" s="13"/>
      <c r="W72" s="13"/>
      <c r="X72" s="13"/>
      <c r="Y72" s="13"/>
      <c r="Z72" s="13"/>
    </row>
    <row r="73" ht="18.0" customHeight="1">
      <c r="A73" s="5" t="s">
        <v>844</v>
      </c>
      <c r="B73" s="5" t="s">
        <v>661</v>
      </c>
      <c r="C73" s="5" t="s">
        <v>88</v>
      </c>
      <c r="D73" s="12">
        <v>45403.7256712963</v>
      </c>
      <c r="E73" s="12">
        <v>45403.80900462963</v>
      </c>
      <c r="F73" s="12">
        <v>45405.7256712963</v>
      </c>
      <c r="G73" s="12">
        <v>45409.7256712963</v>
      </c>
      <c r="H73" s="12">
        <v>45411.7256712963</v>
      </c>
      <c r="I73" s="5" t="s">
        <v>662</v>
      </c>
      <c r="J73" s="5" t="s">
        <v>471</v>
      </c>
      <c r="K73" s="5" t="s">
        <v>258</v>
      </c>
      <c r="L73" s="5" t="s">
        <v>46</v>
      </c>
      <c r="M73" s="5" t="s">
        <v>132</v>
      </c>
      <c r="N73" s="9" t="str">
        <f>IFERROR(VLOOKUP(I73,Customers!$B$2:$L$81,11,FALSE),"")</f>
        <v>EMP004</v>
      </c>
      <c r="O73" s="15">
        <f>SUMIF(OderItems!$A$2:$A$510,A73,OderItems!$L$2:$L$510)</f>
        <v>555000</v>
      </c>
      <c r="P73" s="15">
        <f>SUMIF(OderItems!$A$2:$A$510,A73,OderItems!$G$2:$G$510)</f>
        <v>7000</v>
      </c>
      <c r="Q73" s="15">
        <f>SUMIF(OderItems!$A$2:$A$510,A73,OderItems!$K$2:$K$510)</f>
        <v>0</v>
      </c>
      <c r="R73" s="15">
        <f t="shared" si="1"/>
        <v>562000</v>
      </c>
      <c r="S73" s="16" t="s">
        <v>79</v>
      </c>
      <c r="T73" s="9" t="b">
        <f t="shared" si="2"/>
        <v>1</v>
      </c>
      <c r="U73" s="13"/>
      <c r="V73" s="13"/>
      <c r="W73" s="13"/>
      <c r="X73" s="13"/>
      <c r="Y73" s="13"/>
      <c r="Z73" s="13"/>
    </row>
    <row r="74" ht="18.0" customHeight="1">
      <c r="A74" s="5" t="s">
        <v>845</v>
      </c>
      <c r="B74" s="5" t="s">
        <v>535</v>
      </c>
      <c r="C74" s="5" t="s">
        <v>88</v>
      </c>
      <c r="D74" s="12">
        <v>45638.817881944444</v>
      </c>
      <c r="E74" s="12">
        <v>45638.90121527778</v>
      </c>
      <c r="F74" s="12">
        <v>45640.817881944444</v>
      </c>
      <c r="G74" s="12">
        <v>45644.817881944444</v>
      </c>
      <c r="H74" s="12">
        <v>45646.817881944444</v>
      </c>
      <c r="I74" s="5" t="s">
        <v>536</v>
      </c>
      <c r="J74" s="5" t="s">
        <v>100</v>
      </c>
      <c r="K74" s="5" t="s">
        <v>344</v>
      </c>
      <c r="L74" s="5" t="s">
        <v>154</v>
      </c>
      <c r="M74" s="5" t="s">
        <v>202</v>
      </c>
      <c r="N74" s="9" t="str">
        <f>IFERROR(VLOOKUP(I74,Customers!$B$2:$L$81,11,FALSE),"")</f>
        <v>EMP007</v>
      </c>
      <c r="O74" s="15">
        <f>SUMIF(OderItems!$A$2:$A$510,A74,OderItems!$L$2:$L$510)</f>
        <v>966000</v>
      </c>
      <c r="P74" s="15">
        <f>SUMIF(OderItems!$A$2:$A$510,A74,OderItems!$G$2:$G$510)</f>
        <v>29000</v>
      </c>
      <c r="Q74" s="15">
        <f>SUMIF(OderItems!$A$2:$A$510,A74,OderItems!$K$2:$K$510)</f>
        <v>0</v>
      </c>
      <c r="R74" s="15">
        <f t="shared" si="1"/>
        <v>995000</v>
      </c>
      <c r="S74" s="16" t="s">
        <v>79</v>
      </c>
      <c r="T74" s="9" t="b">
        <f t="shared" si="2"/>
        <v>1</v>
      </c>
      <c r="U74" s="13"/>
      <c r="V74" s="13"/>
      <c r="W74" s="13"/>
      <c r="X74" s="13"/>
      <c r="Y74" s="13"/>
      <c r="Z74" s="13"/>
    </row>
    <row r="75" ht="18.0" customHeight="1">
      <c r="A75" s="5" t="s">
        <v>847</v>
      </c>
      <c r="B75" s="5" t="s">
        <v>451</v>
      </c>
      <c r="C75" s="5" t="s">
        <v>751</v>
      </c>
      <c r="D75" s="12">
        <v>46127.7234837963</v>
      </c>
      <c r="E75" s="12">
        <v>46127.80681712963</v>
      </c>
      <c r="F75" s="18"/>
      <c r="G75" s="18"/>
      <c r="H75" s="12">
        <v>46135.7234837963</v>
      </c>
      <c r="I75" s="5" t="s">
        <v>452</v>
      </c>
      <c r="J75" s="5" t="s">
        <v>404</v>
      </c>
      <c r="K75" s="5" t="s">
        <v>102</v>
      </c>
      <c r="L75" s="5" t="s">
        <v>74</v>
      </c>
      <c r="M75" s="5" t="s">
        <v>142</v>
      </c>
      <c r="N75" s="9" t="str">
        <f>IFERROR(VLOOKUP(I75,Customers!$B$2:$L$81,11,FALSE),"")</f>
        <v>EMP004</v>
      </c>
      <c r="O75" s="15">
        <f>SUMIF(OderItems!$A$2:$A$510,A75,OderItems!$L$2:$L$510)</f>
        <v>555000</v>
      </c>
      <c r="P75" s="15">
        <f>SUMIF(OderItems!$A$2:$A$510,A75,OderItems!$G$2:$G$510)</f>
        <v>7000</v>
      </c>
      <c r="Q75" s="15">
        <f>SUMIF(OderItems!$A$2:$A$510,A75,OderItems!$K$2:$K$510)</f>
        <v>0</v>
      </c>
      <c r="R75" s="15">
        <f t="shared" si="1"/>
        <v>562000</v>
      </c>
      <c r="S75" s="16" t="s">
        <v>79</v>
      </c>
      <c r="T75" s="9" t="b">
        <f t="shared" si="2"/>
        <v>0</v>
      </c>
      <c r="U75" s="13"/>
      <c r="V75" s="13"/>
      <c r="W75" s="13"/>
      <c r="X75" s="13"/>
      <c r="Y75" s="13"/>
      <c r="Z75" s="13"/>
    </row>
    <row r="76" ht="18.0" customHeight="1">
      <c r="A76" s="5" t="s">
        <v>848</v>
      </c>
      <c r="B76" s="5" t="s">
        <v>377</v>
      </c>
      <c r="C76" s="5" t="s">
        <v>88</v>
      </c>
      <c r="D76" s="12">
        <v>46043.03246527778</v>
      </c>
      <c r="E76" s="12">
        <v>46043.115798611114</v>
      </c>
      <c r="F76" s="12">
        <v>46045.03246527778</v>
      </c>
      <c r="G76" s="12">
        <v>46049.03246527778</v>
      </c>
      <c r="H76" s="12">
        <v>46051.03246527778</v>
      </c>
      <c r="I76" s="5" t="s">
        <v>378</v>
      </c>
      <c r="J76" s="5" t="s">
        <v>471</v>
      </c>
      <c r="K76" s="5" t="s">
        <v>102</v>
      </c>
      <c r="L76" s="5" t="s">
        <v>154</v>
      </c>
      <c r="M76" s="5" t="s">
        <v>379</v>
      </c>
      <c r="N76" s="9" t="str">
        <f>IFERROR(VLOOKUP(I76,Customers!$B$2:$L$81,11,FALSE),"")</f>
        <v>EMP003</v>
      </c>
      <c r="O76" s="15">
        <f>SUMIF(OderItems!$A$2:$A$510,A76,OderItems!$L$2:$L$510)</f>
        <v>171000</v>
      </c>
      <c r="P76" s="15">
        <f>SUMIF(OderItems!$A$2:$A$510,A76,OderItems!$G$2:$G$510)</f>
        <v>9000</v>
      </c>
      <c r="Q76" s="15">
        <f>SUMIF(OderItems!$A$2:$A$510,A76,OderItems!$K$2:$K$510)</f>
        <v>0</v>
      </c>
      <c r="R76" s="15">
        <f t="shared" si="1"/>
        <v>180000</v>
      </c>
      <c r="S76" s="16" t="s">
        <v>79</v>
      </c>
      <c r="T76" s="9" t="b">
        <f t="shared" si="2"/>
        <v>1</v>
      </c>
      <c r="U76" s="13"/>
      <c r="V76" s="13"/>
      <c r="W76" s="13"/>
      <c r="X76" s="13"/>
      <c r="Y76" s="13"/>
      <c r="Z76" s="13"/>
    </row>
    <row r="77" ht="18.0" customHeight="1">
      <c r="A77" s="5" t="s">
        <v>850</v>
      </c>
      <c r="B77" s="5" t="s">
        <v>169</v>
      </c>
      <c r="C77" s="5" t="s">
        <v>88</v>
      </c>
      <c r="D77" s="12">
        <v>45866.90168981482</v>
      </c>
      <c r="E77" s="12">
        <v>45866.98502314815</v>
      </c>
      <c r="F77" s="12">
        <v>45868.90168981482</v>
      </c>
      <c r="G77" s="12">
        <v>45872.90168981482</v>
      </c>
      <c r="H77" s="12">
        <v>45874.90168981482</v>
      </c>
      <c r="I77" s="5" t="s">
        <v>170</v>
      </c>
      <c r="J77" s="5" t="s">
        <v>100</v>
      </c>
      <c r="K77" s="5" t="s">
        <v>102</v>
      </c>
      <c r="L77" s="5" t="s">
        <v>74</v>
      </c>
      <c r="M77" s="5" t="s">
        <v>171</v>
      </c>
      <c r="N77" s="9" t="str">
        <f>IFERROR(VLOOKUP(I77,Customers!$B$2:$L$81,11,FALSE),"")</f>
        <v>EMP004</v>
      </c>
      <c r="O77" s="15">
        <f>SUMIF(OderItems!$A$2:$A$510,A77,OderItems!$L$2:$L$510)</f>
        <v>1894000</v>
      </c>
      <c r="P77" s="15">
        <f>SUMIF(OderItems!$A$2:$A$510,A77,OderItems!$G$2:$G$510)</f>
        <v>34000</v>
      </c>
      <c r="Q77" s="15">
        <f>SUMIF(OderItems!$A$2:$A$510,A77,OderItems!$K$2:$K$510)</f>
        <v>0</v>
      </c>
      <c r="R77" s="15">
        <f t="shared" si="1"/>
        <v>1928000</v>
      </c>
      <c r="S77" s="16" t="s">
        <v>79</v>
      </c>
      <c r="T77" s="9" t="b">
        <f t="shared" si="2"/>
        <v>1</v>
      </c>
      <c r="U77" s="13"/>
      <c r="V77" s="13"/>
      <c r="W77" s="13"/>
      <c r="X77" s="13"/>
      <c r="Y77" s="13"/>
      <c r="Z77" s="13"/>
    </row>
    <row r="78" ht="18.0" customHeight="1">
      <c r="A78" s="5" t="s">
        <v>851</v>
      </c>
      <c r="B78" s="5" t="s">
        <v>276</v>
      </c>
      <c r="C78" s="5" t="s">
        <v>88</v>
      </c>
      <c r="D78" s="12">
        <v>45863.475381944445</v>
      </c>
      <c r="E78" s="12">
        <v>45863.55871527778</v>
      </c>
      <c r="F78" s="12">
        <v>45865.475381944445</v>
      </c>
      <c r="G78" s="12">
        <v>45869.475381944445</v>
      </c>
      <c r="H78" s="12">
        <v>45871.475381944445</v>
      </c>
      <c r="I78" s="5" t="s">
        <v>277</v>
      </c>
      <c r="J78" s="5" t="s">
        <v>342</v>
      </c>
      <c r="K78" s="5" t="s">
        <v>258</v>
      </c>
      <c r="L78" s="5" t="s">
        <v>154</v>
      </c>
      <c r="M78" s="5" t="s">
        <v>202</v>
      </c>
      <c r="N78" s="9" t="str">
        <f>IFERROR(VLOOKUP(I78,Customers!$B$2:$L$81,11,FALSE),"")</f>
        <v>EMP007</v>
      </c>
      <c r="O78" s="15">
        <f>SUMIF(OderItems!$A$2:$A$510,A78,OderItems!$L$2:$L$510)</f>
        <v>580000</v>
      </c>
      <c r="P78" s="15">
        <f>SUMIF(OderItems!$A$2:$A$510,A78,OderItems!$G$2:$G$510)</f>
        <v>9000</v>
      </c>
      <c r="Q78" s="15">
        <f>SUMIF(OderItems!$A$2:$A$510,A78,OderItems!$K$2:$K$510)</f>
        <v>0</v>
      </c>
      <c r="R78" s="15">
        <f t="shared" si="1"/>
        <v>589000</v>
      </c>
      <c r="S78" s="16" t="s">
        <v>79</v>
      </c>
      <c r="T78" s="9" t="b">
        <f t="shared" si="2"/>
        <v>1</v>
      </c>
      <c r="U78" s="13"/>
      <c r="V78" s="13"/>
      <c r="W78" s="13"/>
      <c r="X78" s="13"/>
      <c r="Y78" s="13"/>
      <c r="Z78" s="13"/>
    </row>
    <row r="79" ht="18.0" customHeight="1">
      <c r="A79" s="5" t="s">
        <v>853</v>
      </c>
      <c r="B79" s="5" t="s">
        <v>276</v>
      </c>
      <c r="C79" s="5" t="s">
        <v>88</v>
      </c>
      <c r="D79" s="12">
        <v>45387.570763888885</v>
      </c>
      <c r="E79" s="12">
        <v>45387.65409722222</v>
      </c>
      <c r="F79" s="12">
        <v>45389.570763888885</v>
      </c>
      <c r="G79" s="12">
        <v>45393.570763888885</v>
      </c>
      <c r="H79" s="12">
        <v>45395.570763888885</v>
      </c>
      <c r="I79" s="5" t="s">
        <v>277</v>
      </c>
      <c r="J79" s="5" t="s">
        <v>471</v>
      </c>
      <c r="K79" s="5" t="s">
        <v>344</v>
      </c>
      <c r="L79" s="5" t="s">
        <v>154</v>
      </c>
      <c r="M79" s="5" t="s">
        <v>202</v>
      </c>
      <c r="N79" s="9" t="str">
        <f>IFERROR(VLOOKUP(I79,Customers!$B$2:$L$81,11,FALSE),"")</f>
        <v>EMP007</v>
      </c>
      <c r="O79" s="15">
        <f>SUMIF(OderItems!$A$2:$A$510,A79,OderItems!$L$2:$L$510)</f>
        <v>2578000</v>
      </c>
      <c r="P79" s="15">
        <f>SUMIF(OderItems!$A$2:$A$510,A79,OderItems!$G$2:$G$510)</f>
        <v>40000</v>
      </c>
      <c r="Q79" s="15">
        <f>SUMIF(OderItems!$A$2:$A$510,A79,OderItems!$K$2:$K$510)</f>
        <v>0</v>
      </c>
      <c r="R79" s="15">
        <f t="shared" si="1"/>
        <v>2618000</v>
      </c>
      <c r="S79" s="16" t="s">
        <v>79</v>
      </c>
      <c r="T79" s="9" t="b">
        <f t="shared" si="2"/>
        <v>1</v>
      </c>
      <c r="U79" s="13"/>
      <c r="V79" s="13"/>
      <c r="W79" s="13"/>
      <c r="X79" s="13"/>
      <c r="Y79" s="13"/>
      <c r="Z79" s="13"/>
    </row>
    <row r="80" ht="18.0" customHeight="1">
      <c r="A80" s="5" t="s">
        <v>855</v>
      </c>
      <c r="B80" s="5" t="s">
        <v>576</v>
      </c>
      <c r="C80" s="5" t="s">
        <v>759</v>
      </c>
      <c r="D80" s="12">
        <v>45411.788622685184</v>
      </c>
      <c r="E80" s="12">
        <v>45411.87195601852</v>
      </c>
      <c r="F80" s="12">
        <v>45413.788622685184</v>
      </c>
      <c r="G80" s="12">
        <v>45417.788622685184</v>
      </c>
      <c r="H80" s="12">
        <v>45419.788622685184</v>
      </c>
      <c r="I80" s="5" t="s">
        <v>577</v>
      </c>
      <c r="J80" s="5" t="s">
        <v>342</v>
      </c>
      <c r="K80" s="5" t="s">
        <v>102</v>
      </c>
      <c r="L80" s="5" t="s">
        <v>46</v>
      </c>
      <c r="M80" s="5" t="s">
        <v>306</v>
      </c>
      <c r="N80" s="9" t="str">
        <f>IFERROR(VLOOKUP(I80,Customers!$B$2:$L$81,11,FALSE),"")</f>
        <v>EMP006</v>
      </c>
      <c r="O80" s="15">
        <f>SUMIF(OderItems!$A$2:$A$510,A80,OderItems!$L$2:$L$510)</f>
        <v>3194000</v>
      </c>
      <c r="P80" s="15">
        <f>SUMIF(OderItems!$A$2:$A$510,A80,OderItems!$G$2:$G$510)</f>
        <v>47000</v>
      </c>
      <c r="Q80" s="15">
        <f>SUMIF(OderItems!$A$2:$A$510,A80,OderItems!$K$2:$K$510)</f>
        <v>0</v>
      </c>
      <c r="R80" s="15">
        <f t="shared" si="1"/>
        <v>3241000</v>
      </c>
      <c r="S80" s="16" t="s">
        <v>79</v>
      </c>
      <c r="T80" s="9" t="b">
        <f t="shared" si="2"/>
        <v>0</v>
      </c>
      <c r="U80" s="13"/>
      <c r="V80" s="13"/>
      <c r="W80" s="13"/>
      <c r="X80" s="13"/>
      <c r="Y80" s="13"/>
      <c r="Z80" s="13"/>
    </row>
    <row r="81" ht="18.0" customHeight="1">
      <c r="A81" s="5" t="s">
        <v>856</v>
      </c>
      <c r="B81" s="5" t="s">
        <v>228</v>
      </c>
      <c r="C81" s="5" t="s">
        <v>88</v>
      </c>
      <c r="D81" s="12">
        <v>45534.97681712963</v>
      </c>
      <c r="E81" s="12">
        <v>45535.06015046296</v>
      </c>
      <c r="F81" s="12">
        <v>45536.97681712963</v>
      </c>
      <c r="G81" s="12">
        <v>45540.97681712963</v>
      </c>
      <c r="H81" s="12">
        <v>45542.97681712963</v>
      </c>
      <c r="I81" s="5" t="s">
        <v>229</v>
      </c>
      <c r="J81" s="5" t="s">
        <v>100</v>
      </c>
      <c r="K81" s="5" t="s">
        <v>102</v>
      </c>
      <c r="L81" s="5" t="s">
        <v>154</v>
      </c>
      <c r="M81" s="5" t="s">
        <v>202</v>
      </c>
      <c r="N81" s="9" t="str">
        <f>IFERROR(VLOOKUP(I81,Customers!$B$2:$L$81,11,FALSE),"")</f>
        <v>EMP002</v>
      </c>
      <c r="O81" s="15">
        <f>SUMIF(OderItems!$A$2:$A$510,A81,OderItems!$L$2:$L$510)</f>
        <v>918000</v>
      </c>
      <c r="P81" s="15">
        <f>SUMIF(OderItems!$A$2:$A$510,A81,OderItems!$G$2:$G$510)</f>
        <v>20000</v>
      </c>
      <c r="Q81" s="15">
        <f>SUMIF(OderItems!$A$2:$A$510,A81,OderItems!$K$2:$K$510)</f>
        <v>0</v>
      </c>
      <c r="R81" s="15">
        <f t="shared" si="1"/>
        <v>938000</v>
      </c>
      <c r="S81" s="16" t="s">
        <v>79</v>
      </c>
      <c r="T81" s="9" t="b">
        <f t="shared" si="2"/>
        <v>1</v>
      </c>
      <c r="U81" s="13"/>
      <c r="V81" s="13"/>
      <c r="W81" s="13"/>
      <c r="X81" s="13"/>
      <c r="Y81" s="13"/>
      <c r="Z81" s="13"/>
    </row>
    <row r="82" ht="18.0" customHeight="1">
      <c r="A82" s="5" t="s">
        <v>858</v>
      </c>
      <c r="B82" s="5" t="s">
        <v>511</v>
      </c>
      <c r="C82" s="5" t="s">
        <v>88</v>
      </c>
      <c r="D82" s="12">
        <v>45520.75262731482</v>
      </c>
      <c r="E82" s="12">
        <v>45520.835960648146</v>
      </c>
      <c r="F82" s="12">
        <v>45522.75262731482</v>
      </c>
      <c r="G82" s="12">
        <v>45526.75262731482</v>
      </c>
      <c r="H82" s="12">
        <v>45528.75262731482</v>
      </c>
      <c r="I82" s="5" t="s">
        <v>512</v>
      </c>
      <c r="J82" s="5" t="s">
        <v>404</v>
      </c>
      <c r="K82" s="5" t="s">
        <v>258</v>
      </c>
      <c r="L82" s="5" t="s">
        <v>154</v>
      </c>
      <c r="M82" s="5" t="s">
        <v>151</v>
      </c>
      <c r="N82" s="9" t="str">
        <f>IFERROR(VLOOKUP(I82,Customers!$B$2:$L$81,11,FALSE),"")</f>
        <v>EMP004</v>
      </c>
      <c r="O82" s="15">
        <f>SUMIF(OderItems!$A$2:$A$510,A82,OderItems!$L$2:$L$510)</f>
        <v>1928000</v>
      </c>
      <c r="P82" s="15">
        <f>SUMIF(OderItems!$A$2:$A$510,A82,OderItems!$G$2:$G$510)</f>
        <v>29000</v>
      </c>
      <c r="Q82" s="15">
        <f>SUMIF(OderItems!$A$2:$A$510,A82,OderItems!$K$2:$K$510)</f>
        <v>0</v>
      </c>
      <c r="R82" s="15">
        <f t="shared" si="1"/>
        <v>1957000</v>
      </c>
      <c r="S82" s="16" t="s">
        <v>79</v>
      </c>
      <c r="T82" s="9" t="b">
        <f t="shared" si="2"/>
        <v>1</v>
      </c>
      <c r="U82" s="13"/>
      <c r="V82" s="13"/>
      <c r="W82" s="13"/>
      <c r="X82" s="13"/>
      <c r="Y82" s="13"/>
      <c r="Z82" s="13"/>
    </row>
    <row r="83" ht="18.0" customHeight="1">
      <c r="A83" s="5" t="s">
        <v>859</v>
      </c>
      <c r="B83" s="5" t="s">
        <v>265</v>
      </c>
      <c r="C83" s="5" t="s">
        <v>751</v>
      </c>
      <c r="D83" s="12">
        <v>45980.548472222225</v>
      </c>
      <c r="E83" s="12">
        <v>45980.63180555555</v>
      </c>
      <c r="F83" s="18"/>
      <c r="G83" s="18"/>
      <c r="H83" s="12">
        <v>45988.548472222225</v>
      </c>
      <c r="I83" s="5" t="s">
        <v>267</v>
      </c>
      <c r="J83" s="5" t="s">
        <v>100</v>
      </c>
      <c r="K83" s="5" t="s">
        <v>406</v>
      </c>
      <c r="L83" s="5" t="s">
        <v>154</v>
      </c>
      <c r="M83" s="5" t="s">
        <v>268</v>
      </c>
      <c r="N83" s="9" t="str">
        <f>IFERROR(VLOOKUP(I83,Customers!$B$2:$L$81,11,FALSE),"")</f>
        <v>EMP006</v>
      </c>
      <c r="O83" s="15">
        <f>SUMIF(OderItems!$A$2:$A$510,A83,OderItems!$L$2:$L$510)</f>
        <v>242000</v>
      </c>
      <c r="P83" s="15">
        <f>SUMIF(OderItems!$A$2:$A$510,A83,OderItems!$G$2:$G$510)</f>
        <v>7000</v>
      </c>
      <c r="Q83" s="15">
        <f>SUMIF(OderItems!$A$2:$A$510,A83,OderItems!$K$2:$K$510)</f>
        <v>0</v>
      </c>
      <c r="R83" s="15">
        <f t="shared" si="1"/>
        <v>249000</v>
      </c>
      <c r="S83" s="16" t="s">
        <v>79</v>
      </c>
      <c r="T83" s="9" t="b">
        <f t="shared" si="2"/>
        <v>0</v>
      </c>
      <c r="U83" s="13"/>
      <c r="V83" s="13"/>
      <c r="W83" s="13"/>
      <c r="X83" s="13"/>
      <c r="Y83" s="13"/>
      <c r="Z83" s="13"/>
    </row>
    <row r="84" ht="18.0" customHeight="1">
      <c r="A84" s="5" t="s">
        <v>861</v>
      </c>
      <c r="B84" s="5" t="s">
        <v>428</v>
      </c>
      <c r="C84" s="5" t="s">
        <v>88</v>
      </c>
      <c r="D84" s="12">
        <v>46093.32523148148</v>
      </c>
      <c r="E84" s="12">
        <v>46093.40856481482</v>
      </c>
      <c r="F84" s="12">
        <v>46095.32523148148</v>
      </c>
      <c r="G84" s="12">
        <v>46099.32523148148</v>
      </c>
      <c r="H84" s="12">
        <v>46101.32523148148</v>
      </c>
      <c r="I84" s="5" t="s">
        <v>429</v>
      </c>
      <c r="J84" s="5" t="s">
        <v>342</v>
      </c>
      <c r="K84" s="5" t="s">
        <v>102</v>
      </c>
      <c r="L84" s="5" t="s">
        <v>154</v>
      </c>
      <c r="M84" s="5" t="s">
        <v>260</v>
      </c>
      <c r="N84" s="9" t="str">
        <f>IFERROR(VLOOKUP(I84,Customers!$B$2:$L$81,11,FALSE),"")</f>
        <v>EMP001</v>
      </c>
      <c r="O84" s="15">
        <f>SUMIF(OderItems!$A$2:$A$510,A84,OderItems!$L$2:$L$510)</f>
        <v>4930000</v>
      </c>
      <c r="P84" s="15">
        <f>SUMIF(OderItems!$A$2:$A$510,A84,OderItems!$G$2:$G$510)</f>
        <v>76000</v>
      </c>
      <c r="Q84" s="15">
        <f>SUMIF(OderItems!$A$2:$A$510,A84,OderItems!$K$2:$K$510)</f>
        <v>0</v>
      </c>
      <c r="R84" s="15">
        <f t="shared" si="1"/>
        <v>5006000</v>
      </c>
      <c r="S84" s="16" t="s">
        <v>79</v>
      </c>
      <c r="T84" s="9" t="b">
        <f t="shared" si="2"/>
        <v>1</v>
      </c>
      <c r="U84" s="13"/>
      <c r="V84" s="13"/>
      <c r="W84" s="13"/>
      <c r="X84" s="13"/>
      <c r="Y84" s="13"/>
      <c r="Z84" s="13"/>
    </row>
    <row r="85" ht="18.0" customHeight="1">
      <c r="A85" s="5" t="s">
        <v>862</v>
      </c>
      <c r="B85" s="5" t="s">
        <v>113</v>
      </c>
      <c r="C85" s="5" t="s">
        <v>692</v>
      </c>
      <c r="D85" s="12">
        <v>45458.248715277776</v>
      </c>
      <c r="E85" s="18"/>
      <c r="F85" s="18"/>
      <c r="G85" s="18"/>
      <c r="H85" s="12">
        <v>45466.248715277776</v>
      </c>
      <c r="I85" s="5" t="s">
        <v>114</v>
      </c>
      <c r="J85" s="5" t="s">
        <v>471</v>
      </c>
      <c r="K85" s="5" t="s">
        <v>102</v>
      </c>
      <c r="L85" s="5" t="s">
        <v>74</v>
      </c>
      <c r="M85" s="5" t="s">
        <v>96</v>
      </c>
      <c r="N85" s="9" t="str">
        <f>IFERROR(VLOOKUP(I85,Customers!$B$2:$L$81,11,FALSE),"")</f>
        <v>EMP006</v>
      </c>
      <c r="O85" s="15">
        <f>SUMIF(OderItems!$A$2:$A$510,A85,OderItems!$L$2:$L$510)</f>
        <v>1764000</v>
      </c>
      <c r="P85" s="15">
        <f>SUMIF(OderItems!$A$2:$A$510,A85,OderItems!$G$2:$G$510)</f>
        <v>34000</v>
      </c>
      <c r="Q85" s="15">
        <f>SUMIF(OderItems!$A$2:$A$510,A85,OderItems!$K$2:$K$510)</f>
        <v>0</v>
      </c>
      <c r="R85" s="15">
        <f t="shared" si="1"/>
        <v>1798000</v>
      </c>
      <c r="S85" s="16" t="s">
        <v>79</v>
      </c>
      <c r="T85" s="9" t="b">
        <f t="shared" si="2"/>
        <v>0</v>
      </c>
      <c r="U85" s="13"/>
      <c r="V85" s="13"/>
      <c r="W85" s="13"/>
      <c r="X85" s="13"/>
      <c r="Y85" s="13"/>
      <c r="Z85" s="13"/>
    </row>
    <row r="86" ht="18.0" customHeight="1">
      <c r="A86" s="5" t="s">
        <v>864</v>
      </c>
      <c r="B86" s="5" t="s">
        <v>371</v>
      </c>
      <c r="C86" s="5" t="s">
        <v>88</v>
      </c>
      <c r="D86" s="12">
        <v>45832.806238425925</v>
      </c>
      <c r="E86" s="12">
        <v>45832.88957175926</v>
      </c>
      <c r="F86" s="12">
        <v>45834.806238425925</v>
      </c>
      <c r="G86" s="12">
        <v>45838.806238425925</v>
      </c>
      <c r="H86" s="12">
        <v>45840.806238425925</v>
      </c>
      <c r="I86" s="5" t="s">
        <v>372</v>
      </c>
      <c r="J86" s="5" t="s">
        <v>404</v>
      </c>
      <c r="K86" s="5" t="s">
        <v>406</v>
      </c>
      <c r="L86" s="5" t="s">
        <v>74</v>
      </c>
      <c r="M86" s="5" t="s">
        <v>123</v>
      </c>
      <c r="N86" s="9" t="str">
        <f>IFERROR(VLOOKUP(I86,Customers!$B$2:$L$81,11,FALSE),"")</f>
        <v>EMP002</v>
      </c>
      <c r="O86" s="15">
        <f>SUMIF(OderItems!$A$2:$A$510,A86,OderItems!$L$2:$L$510)</f>
        <v>2166000</v>
      </c>
      <c r="P86" s="15">
        <f>SUMIF(OderItems!$A$2:$A$510,A86,OderItems!$G$2:$G$510)</f>
        <v>44000</v>
      </c>
      <c r="Q86" s="15">
        <f>SUMIF(OderItems!$A$2:$A$510,A86,OderItems!$K$2:$K$510)</f>
        <v>0</v>
      </c>
      <c r="R86" s="15">
        <f t="shared" si="1"/>
        <v>2210000</v>
      </c>
      <c r="S86" s="16" t="s">
        <v>79</v>
      </c>
      <c r="T86" s="9" t="b">
        <f t="shared" si="2"/>
        <v>1</v>
      </c>
      <c r="U86" s="13"/>
      <c r="V86" s="13"/>
      <c r="W86" s="13"/>
      <c r="X86" s="13"/>
      <c r="Y86" s="13"/>
      <c r="Z86" s="13"/>
    </row>
    <row r="87" ht="18.0" customHeight="1">
      <c r="A87" s="5" t="s">
        <v>865</v>
      </c>
      <c r="B87" s="5" t="s">
        <v>276</v>
      </c>
      <c r="C87" s="5" t="s">
        <v>759</v>
      </c>
      <c r="D87" s="12">
        <v>45972.21581018518</v>
      </c>
      <c r="E87" s="12">
        <v>45972.29914351852</v>
      </c>
      <c r="F87" s="12">
        <v>45974.21581018518</v>
      </c>
      <c r="G87" s="12">
        <v>45978.21581018518</v>
      </c>
      <c r="H87" s="12">
        <v>45980.21581018518</v>
      </c>
      <c r="I87" s="5" t="s">
        <v>277</v>
      </c>
      <c r="J87" s="5" t="s">
        <v>404</v>
      </c>
      <c r="K87" s="5" t="s">
        <v>102</v>
      </c>
      <c r="L87" s="5" t="s">
        <v>154</v>
      </c>
      <c r="M87" s="5" t="s">
        <v>202</v>
      </c>
      <c r="N87" s="9" t="str">
        <f>IFERROR(VLOOKUP(I87,Customers!$B$2:$L$81,11,FALSE),"")</f>
        <v>EMP007</v>
      </c>
      <c r="O87" s="15">
        <f>SUMIF(OderItems!$A$2:$A$510,A87,OderItems!$L$2:$L$510)</f>
        <v>780000</v>
      </c>
      <c r="P87" s="15">
        <f>SUMIF(OderItems!$A$2:$A$510,A87,OderItems!$G$2:$G$510)</f>
        <v>20000</v>
      </c>
      <c r="Q87" s="15">
        <f>SUMIF(OderItems!$A$2:$A$510,A87,OderItems!$K$2:$K$510)</f>
        <v>0</v>
      </c>
      <c r="R87" s="15">
        <f t="shared" si="1"/>
        <v>800000</v>
      </c>
      <c r="S87" s="16" t="s">
        <v>79</v>
      </c>
      <c r="T87" s="9" t="b">
        <f t="shared" si="2"/>
        <v>0</v>
      </c>
      <c r="U87" s="13"/>
      <c r="V87" s="13"/>
      <c r="W87" s="13"/>
      <c r="X87" s="13"/>
      <c r="Y87" s="13"/>
      <c r="Z87" s="13"/>
    </row>
    <row r="88" ht="18.0" customHeight="1">
      <c r="A88" s="5" t="s">
        <v>867</v>
      </c>
      <c r="B88" s="5" t="s">
        <v>220</v>
      </c>
      <c r="C88" s="5" t="s">
        <v>751</v>
      </c>
      <c r="D88" s="12">
        <v>45797.40724537037</v>
      </c>
      <c r="E88" s="12">
        <v>45797.490578703706</v>
      </c>
      <c r="F88" s="18"/>
      <c r="G88" s="18"/>
      <c r="H88" s="12">
        <v>45805.40724537037</v>
      </c>
      <c r="I88" s="5" t="s">
        <v>221</v>
      </c>
      <c r="J88" s="5" t="s">
        <v>342</v>
      </c>
      <c r="K88" s="5" t="s">
        <v>258</v>
      </c>
      <c r="L88" s="5" t="s">
        <v>154</v>
      </c>
      <c r="M88" s="5" t="s">
        <v>151</v>
      </c>
      <c r="N88" s="9" t="str">
        <f>IFERROR(VLOOKUP(I88,Customers!$B$2:$L$81,11,FALSE),"")</f>
        <v>EMP001</v>
      </c>
      <c r="O88" s="15">
        <f>SUMIF(OderItems!$A$2:$A$510,A88,OderItems!$L$2:$L$510)</f>
        <v>1578000</v>
      </c>
      <c r="P88" s="15">
        <f>SUMIF(OderItems!$A$2:$A$510,A88,OderItems!$G$2:$G$510)</f>
        <v>34000</v>
      </c>
      <c r="Q88" s="15">
        <f>SUMIF(OderItems!$A$2:$A$510,A88,OderItems!$K$2:$K$510)</f>
        <v>0</v>
      </c>
      <c r="R88" s="15">
        <f t="shared" si="1"/>
        <v>1612000</v>
      </c>
      <c r="S88" s="16" t="s">
        <v>79</v>
      </c>
      <c r="T88" s="9" t="b">
        <f t="shared" si="2"/>
        <v>0</v>
      </c>
      <c r="U88" s="13"/>
      <c r="V88" s="13"/>
      <c r="W88" s="13"/>
      <c r="X88" s="13"/>
      <c r="Y88" s="13"/>
      <c r="Z88" s="13"/>
    </row>
    <row r="89" ht="18.0" customHeight="1">
      <c r="A89" s="5" t="s">
        <v>868</v>
      </c>
      <c r="B89" s="5" t="s">
        <v>386</v>
      </c>
      <c r="C89" s="5" t="s">
        <v>88</v>
      </c>
      <c r="D89" s="12">
        <v>45979.33431712963</v>
      </c>
      <c r="E89" s="12">
        <v>45979.417650462965</v>
      </c>
      <c r="F89" s="12">
        <v>45981.33431712963</v>
      </c>
      <c r="G89" s="12">
        <v>45985.33431712963</v>
      </c>
      <c r="H89" s="12">
        <v>45987.33431712963</v>
      </c>
      <c r="I89" s="5" t="s">
        <v>387</v>
      </c>
      <c r="J89" s="5" t="s">
        <v>100</v>
      </c>
      <c r="K89" s="5" t="s">
        <v>102</v>
      </c>
      <c r="L89" s="5" t="s">
        <v>46</v>
      </c>
      <c r="M89" s="5" t="s">
        <v>84</v>
      </c>
      <c r="N89" s="9" t="str">
        <f>IFERROR(VLOOKUP(I89,Customers!$B$2:$L$81,11,FALSE),"")</f>
        <v>EMP004</v>
      </c>
      <c r="O89" s="15">
        <f>SUMIF(OderItems!$A$2:$A$510,A89,OderItems!$L$2:$L$510)</f>
        <v>1062000</v>
      </c>
      <c r="P89" s="15">
        <f>SUMIF(OderItems!$A$2:$A$510,A89,OderItems!$G$2:$G$510)</f>
        <v>19000</v>
      </c>
      <c r="Q89" s="15">
        <f>SUMIF(OderItems!$A$2:$A$510,A89,OderItems!$K$2:$K$510)</f>
        <v>0</v>
      </c>
      <c r="R89" s="15">
        <f t="shared" si="1"/>
        <v>1081000</v>
      </c>
      <c r="S89" s="16" t="s">
        <v>79</v>
      </c>
      <c r="T89" s="9" t="b">
        <f t="shared" si="2"/>
        <v>1</v>
      </c>
      <c r="U89" s="13"/>
      <c r="V89" s="13"/>
      <c r="W89" s="13"/>
      <c r="X89" s="13"/>
      <c r="Y89" s="13"/>
      <c r="Z89" s="13"/>
    </row>
    <row r="90" ht="18.0" customHeight="1">
      <c r="A90" s="5" t="s">
        <v>870</v>
      </c>
      <c r="B90" s="5" t="s">
        <v>235</v>
      </c>
      <c r="C90" s="5" t="s">
        <v>88</v>
      </c>
      <c r="D90" s="12">
        <v>45590.58996527778</v>
      </c>
      <c r="E90" s="12">
        <v>45590.67329861111</v>
      </c>
      <c r="F90" s="12">
        <v>45592.58996527778</v>
      </c>
      <c r="G90" s="12">
        <v>45596.58996527778</v>
      </c>
      <c r="H90" s="12">
        <v>45598.58996527778</v>
      </c>
      <c r="I90" s="5" t="s">
        <v>236</v>
      </c>
      <c r="J90" s="5" t="s">
        <v>404</v>
      </c>
      <c r="K90" s="5" t="s">
        <v>258</v>
      </c>
      <c r="L90" s="5" t="s">
        <v>46</v>
      </c>
      <c r="M90" s="5" t="s">
        <v>192</v>
      </c>
      <c r="N90" s="9" t="str">
        <f>IFERROR(VLOOKUP(I90,Customers!$B$2:$L$81,11,FALSE),"")</f>
        <v>EMP003</v>
      </c>
      <c r="O90" s="15">
        <f>SUMIF(OderItems!$A$2:$A$510,A90,OderItems!$L$2:$L$510)</f>
        <v>2251000</v>
      </c>
      <c r="P90" s="15">
        <f>SUMIF(OderItems!$A$2:$A$510,A90,OderItems!$G$2:$G$510)</f>
        <v>57000</v>
      </c>
      <c r="Q90" s="15">
        <f>SUMIF(OderItems!$A$2:$A$510,A90,OderItems!$K$2:$K$510)</f>
        <v>0</v>
      </c>
      <c r="R90" s="15">
        <f t="shared" si="1"/>
        <v>2308000</v>
      </c>
      <c r="S90" s="16" t="s">
        <v>79</v>
      </c>
      <c r="T90" s="9" t="b">
        <f t="shared" si="2"/>
        <v>1</v>
      </c>
      <c r="U90" s="13"/>
      <c r="V90" s="13"/>
      <c r="W90" s="13"/>
      <c r="X90" s="13"/>
      <c r="Y90" s="13"/>
      <c r="Z90" s="13"/>
    </row>
    <row r="91" ht="18.0" customHeight="1">
      <c r="A91" s="5" t="s">
        <v>871</v>
      </c>
      <c r="B91" s="5" t="s">
        <v>435</v>
      </c>
      <c r="C91" s="5" t="s">
        <v>88</v>
      </c>
      <c r="D91" s="12">
        <v>45819.560694444444</v>
      </c>
      <c r="E91" s="12">
        <v>45819.64402777778</v>
      </c>
      <c r="F91" s="12">
        <v>45821.560694444444</v>
      </c>
      <c r="G91" s="12">
        <v>45825.560694444444</v>
      </c>
      <c r="H91" s="12">
        <v>45827.560694444444</v>
      </c>
      <c r="I91" s="5" t="s">
        <v>436</v>
      </c>
      <c r="J91" s="5" t="s">
        <v>342</v>
      </c>
      <c r="K91" s="5" t="s">
        <v>344</v>
      </c>
      <c r="L91" s="5" t="s">
        <v>154</v>
      </c>
      <c r="M91" s="5" t="s">
        <v>260</v>
      </c>
      <c r="N91" s="9" t="str">
        <f>IFERROR(VLOOKUP(I91,Customers!$B$2:$L$81,11,FALSE),"")</f>
        <v>EMP002</v>
      </c>
      <c r="O91" s="15">
        <f>SUMIF(OderItems!$A$2:$A$510,A91,OderItems!$L$2:$L$510)</f>
        <v>2304000</v>
      </c>
      <c r="P91" s="15">
        <f>SUMIF(OderItems!$A$2:$A$510,A91,OderItems!$G$2:$G$510)</f>
        <v>20000</v>
      </c>
      <c r="Q91" s="15">
        <f>SUMIF(OderItems!$A$2:$A$510,A91,OderItems!$K$2:$K$510)</f>
        <v>0</v>
      </c>
      <c r="R91" s="15">
        <f t="shared" si="1"/>
        <v>2324000</v>
      </c>
      <c r="S91" s="16" t="s">
        <v>79</v>
      </c>
      <c r="T91" s="9" t="b">
        <f t="shared" si="2"/>
        <v>1</v>
      </c>
      <c r="U91" s="13"/>
      <c r="V91" s="13"/>
      <c r="W91" s="13"/>
      <c r="X91" s="13"/>
      <c r="Y91" s="13"/>
      <c r="Z91" s="13"/>
    </row>
    <row r="92" ht="18.0" customHeight="1">
      <c r="A92" s="5" t="s">
        <v>873</v>
      </c>
      <c r="B92" s="5" t="s">
        <v>181</v>
      </c>
      <c r="C92" s="5" t="s">
        <v>692</v>
      </c>
      <c r="D92" s="12">
        <v>45332.00315972222</v>
      </c>
      <c r="E92" s="18"/>
      <c r="F92" s="18"/>
      <c r="G92" s="18"/>
      <c r="H92" s="12">
        <v>45340.00315972222</v>
      </c>
      <c r="I92" s="5" t="s">
        <v>182</v>
      </c>
      <c r="J92" s="5" t="s">
        <v>100</v>
      </c>
      <c r="K92" s="5" t="s">
        <v>344</v>
      </c>
      <c r="L92" s="5" t="s">
        <v>46</v>
      </c>
      <c r="M92" s="5" t="s">
        <v>39</v>
      </c>
      <c r="N92" s="9" t="str">
        <f>IFERROR(VLOOKUP(I92,Customers!$B$2:$L$81,11,FALSE),"")</f>
        <v>EMP005</v>
      </c>
      <c r="O92" s="15">
        <f>SUMIF(OderItems!$A$2:$A$510,A92,OderItems!$L$2:$L$510)</f>
        <v>2573000</v>
      </c>
      <c r="P92" s="15">
        <f>SUMIF(OderItems!$A$2:$A$510,A92,OderItems!$G$2:$G$510)</f>
        <v>46000</v>
      </c>
      <c r="Q92" s="15">
        <f>SUMIF(OderItems!$A$2:$A$510,A92,OderItems!$K$2:$K$510)</f>
        <v>0</v>
      </c>
      <c r="R92" s="15">
        <f t="shared" si="1"/>
        <v>2619000</v>
      </c>
      <c r="S92" s="16" t="s">
        <v>79</v>
      </c>
      <c r="T92" s="9" t="b">
        <f t="shared" si="2"/>
        <v>0</v>
      </c>
      <c r="U92" s="13"/>
      <c r="V92" s="13"/>
      <c r="W92" s="13"/>
      <c r="X92" s="13"/>
      <c r="Y92" s="13"/>
      <c r="Z92" s="13"/>
    </row>
    <row r="93" ht="18.0" customHeight="1">
      <c r="A93" s="5" t="s">
        <v>874</v>
      </c>
      <c r="B93" s="5" t="s">
        <v>421</v>
      </c>
      <c r="C93" s="5" t="s">
        <v>88</v>
      </c>
      <c r="D93" s="12">
        <v>46152.14215277778</v>
      </c>
      <c r="E93" s="12">
        <v>46152.225486111114</v>
      </c>
      <c r="F93" s="12">
        <v>46154.14215277778</v>
      </c>
      <c r="G93" s="12">
        <v>46158.14215277778</v>
      </c>
      <c r="H93" s="12">
        <v>46160.14215277778</v>
      </c>
      <c r="I93" s="5" t="s">
        <v>422</v>
      </c>
      <c r="J93" s="5" t="s">
        <v>342</v>
      </c>
      <c r="K93" s="5" t="s">
        <v>406</v>
      </c>
      <c r="L93" s="5" t="s">
        <v>46</v>
      </c>
      <c r="M93" s="5" t="s">
        <v>39</v>
      </c>
      <c r="N93" s="9" t="str">
        <f>IFERROR(VLOOKUP(I93,Customers!$B$2:$L$81,11,FALSE),"")</f>
        <v>EMP008</v>
      </c>
      <c r="O93" s="15">
        <f>SUMIF(OderItems!$A$2:$A$510,A93,OderItems!$L$2:$L$510)</f>
        <v>390000</v>
      </c>
      <c r="P93" s="15">
        <f>SUMIF(OderItems!$A$2:$A$510,A93,OderItems!$G$2:$G$510)</f>
        <v>10000</v>
      </c>
      <c r="Q93" s="15">
        <f>SUMIF(OderItems!$A$2:$A$510,A93,OderItems!$K$2:$K$510)</f>
        <v>0</v>
      </c>
      <c r="R93" s="15">
        <f t="shared" si="1"/>
        <v>400000</v>
      </c>
      <c r="S93" s="16" t="s">
        <v>79</v>
      </c>
      <c r="T93" s="9" t="b">
        <f t="shared" si="2"/>
        <v>1</v>
      </c>
      <c r="U93" s="13"/>
      <c r="V93" s="13"/>
      <c r="W93" s="13"/>
      <c r="X93" s="13"/>
      <c r="Y93" s="13"/>
      <c r="Z93" s="13"/>
    </row>
    <row r="94" ht="18.0" customHeight="1">
      <c r="A94" s="5" t="s">
        <v>875</v>
      </c>
      <c r="B94" s="5" t="s">
        <v>348</v>
      </c>
      <c r="C94" s="5" t="s">
        <v>751</v>
      </c>
      <c r="D94" s="12">
        <v>45363.388657407406</v>
      </c>
      <c r="E94" s="12">
        <v>45363.47199074074</v>
      </c>
      <c r="F94" s="18"/>
      <c r="G94" s="18"/>
      <c r="H94" s="12">
        <v>45371.388657407406</v>
      </c>
      <c r="I94" s="5" t="s">
        <v>349</v>
      </c>
      <c r="J94" s="5" t="s">
        <v>404</v>
      </c>
      <c r="K94" s="5" t="s">
        <v>406</v>
      </c>
      <c r="L94" s="5" t="s">
        <v>154</v>
      </c>
      <c r="M94" s="5" t="s">
        <v>202</v>
      </c>
      <c r="N94" s="9" t="str">
        <f>IFERROR(VLOOKUP(I94,Customers!$B$2:$L$81,11,FALSE),"")</f>
        <v>EMP007</v>
      </c>
      <c r="O94" s="15">
        <f>SUMIF(OderItems!$A$2:$A$510,A94,OderItems!$L$2:$L$510)</f>
        <v>1764000</v>
      </c>
      <c r="P94" s="15">
        <f>SUMIF(OderItems!$A$2:$A$510,A94,OderItems!$G$2:$G$510)</f>
        <v>32000</v>
      </c>
      <c r="Q94" s="15">
        <f>SUMIF(OderItems!$A$2:$A$510,A94,OderItems!$K$2:$K$510)</f>
        <v>0</v>
      </c>
      <c r="R94" s="15">
        <f t="shared" si="1"/>
        <v>1796000</v>
      </c>
      <c r="S94" s="16" t="s">
        <v>79</v>
      </c>
      <c r="T94" s="9" t="b">
        <f t="shared" si="2"/>
        <v>0</v>
      </c>
      <c r="U94" s="13"/>
      <c r="V94" s="13"/>
      <c r="W94" s="13"/>
      <c r="X94" s="13"/>
      <c r="Y94" s="13"/>
      <c r="Z94" s="13"/>
    </row>
    <row r="95" ht="18.0" customHeight="1">
      <c r="A95" s="5" t="s">
        <v>877</v>
      </c>
      <c r="B95" s="5" t="s">
        <v>395</v>
      </c>
      <c r="C95" s="5" t="s">
        <v>88</v>
      </c>
      <c r="D95" s="12">
        <v>46141.44153935185</v>
      </c>
      <c r="E95" s="12">
        <v>46141.524872685186</v>
      </c>
      <c r="F95" s="12">
        <v>46143.44153935185</v>
      </c>
      <c r="G95" s="12">
        <v>46147.44153935185</v>
      </c>
      <c r="H95" s="12">
        <v>46149.44153935185</v>
      </c>
      <c r="I95" s="5" t="s">
        <v>396</v>
      </c>
      <c r="J95" s="5" t="s">
        <v>404</v>
      </c>
      <c r="K95" s="5" t="s">
        <v>102</v>
      </c>
      <c r="L95" s="5" t="s">
        <v>46</v>
      </c>
      <c r="M95" s="5" t="s">
        <v>39</v>
      </c>
      <c r="N95" s="9" t="str">
        <f>IFERROR(VLOOKUP(I95,Customers!$B$2:$L$81,11,FALSE),"")</f>
        <v>EMP005</v>
      </c>
      <c r="O95" s="15">
        <f>SUMIF(OderItems!$A$2:$A$510,A95,OderItems!$L$2:$L$510)</f>
        <v>967000</v>
      </c>
      <c r="P95" s="15">
        <f>SUMIF(OderItems!$A$2:$A$510,A95,OderItems!$G$2:$G$510)</f>
        <v>20000</v>
      </c>
      <c r="Q95" s="15">
        <f>SUMIF(OderItems!$A$2:$A$510,A95,OderItems!$K$2:$K$510)</f>
        <v>0</v>
      </c>
      <c r="R95" s="15">
        <f t="shared" si="1"/>
        <v>987000</v>
      </c>
      <c r="S95" s="16" t="s">
        <v>79</v>
      </c>
      <c r="T95" s="9" t="b">
        <f t="shared" si="2"/>
        <v>1</v>
      </c>
      <c r="U95" s="13"/>
      <c r="V95" s="13"/>
      <c r="W95" s="13"/>
      <c r="X95" s="13"/>
      <c r="Y95" s="13"/>
      <c r="Z95" s="13"/>
    </row>
    <row r="96" ht="18.0" customHeight="1">
      <c r="A96" s="5" t="s">
        <v>878</v>
      </c>
      <c r="B96" s="5" t="s">
        <v>357</v>
      </c>
      <c r="C96" s="5" t="s">
        <v>88</v>
      </c>
      <c r="D96" s="12">
        <v>45570.57329861111</v>
      </c>
      <c r="E96" s="12">
        <v>45570.65663194445</v>
      </c>
      <c r="F96" s="12">
        <v>45572.57329861111</v>
      </c>
      <c r="G96" s="12">
        <v>45576.57329861111</v>
      </c>
      <c r="H96" s="12">
        <v>45578.57329861111</v>
      </c>
      <c r="I96" s="5" t="s">
        <v>358</v>
      </c>
      <c r="J96" s="5" t="s">
        <v>404</v>
      </c>
      <c r="K96" s="5" t="s">
        <v>258</v>
      </c>
      <c r="L96" s="5" t="s">
        <v>154</v>
      </c>
      <c r="M96" s="5" t="s">
        <v>151</v>
      </c>
      <c r="N96" s="9" t="str">
        <f>IFERROR(VLOOKUP(I96,Customers!$B$2:$L$81,11,FALSE),"")</f>
        <v>EMP008</v>
      </c>
      <c r="O96" s="15">
        <f>SUMIF(OderItems!$A$2:$A$510,A96,OderItems!$L$2:$L$510)</f>
        <v>120000</v>
      </c>
      <c r="P96" s="15">
        <f>SUMIF(OderItems!$A$2:$A$510,A96,OderItems!$G$2:$G$510)</f>
        <v>4000</v>
      </c>
      <c r="Q96" s="15">
        <f>SUMIF(OderItems!$A$2:$A$510,A96,OderItems!$K$2:$K$510)</f>
        <v>0</v>
      </c>
      <c r="R96" s="15">
        <f t="shared" si="1"/>
        <v>124000</v>
      </c>
      <c r="S96" s="16" t="s">
        <v>79</v>
      </c>
      <c r="T96" s="9" t="b">
        <f t="shared" si="2"/>
        <v>1</v>
      </c>
      <c r="U96" s="13"/>
      <c r="V96" s="13"/>
      <c r="W96" s="13"/>
      <c r="X96" s="13"/>
      <c r="Y96" s="13"/>
      <c r="Z96" s="13"/>
    </row>
    <row r="97" ht="18.0" customHeight="1">
      <c r="A97" s="5" t="s">
        <v>880</v>
      </c>
      <c r="B97" s="5" t="s">
        <v>149</v>
      </c>
      <c r="C97" s="5" t="s">
        <v>88</v>
      </c>
      <c r="D97" s="12">
        <v>45389.89011574074</v>
      </c>
      <c r="E97" s="12">
        <v>45389.973449074074</v>
      </c>
      <c r="F97" s="12">
        <v>45391.89011574074</v>
      </c>
      <c r="G97" s="12">
        <v>45395.89011574074</v>
      </c>
      <c r="H97" s="12">
        <v>45397.89011574074</v>
      </c>
      <c r="I97" s="5" t="s">
        <v>150</v>
      </c>
      <c r="J97" s="5" t="s">
        <v>342</v>
      </c>
      <c r="K97" s="5" t="s">
        <v>102</v>
      </c>
      <c r="L97" s="5" t="s">
        <v>154</v>
      </c>
      <c r="M97" s="5" t="s">
        <v>151</v>
      </c>
      <c r="N97" s="9" t="str">
        <f>IFERROR(VLOOKUP(I97,Customers!$B$2:$L$81,11,FALSE),"")</f>
        <v>EMP002</v>
      </c>
      <c r="O97" s="15">
        <f>SUMIF(OderItems!$A$2:$A$510,A97,OderItems!$L$2:$L$510)</f>
        <v>350000</v>
      </c>
      <c r="P97" s="15">
        <f>SUMIF(OderItems!$A$2:$A$510,A97,OderItems!$G$2:$G$510)</f>
        <v>14000</v>
      </c>
      <c r="Q97" s="15">
        <f>SUMIF(OderItems!$A$2:$A$510,A97,OderItems!$K$2:$K$510)</f>
        <v>0</v>
      </c>
      <c r="R97" s="15">
        <f t="shared" si="1"/>
        <v>364000</v>
      </c>
      <c r="S97" s="16" t="s">
        <v>79</v>
      </c>
      <c r="T97" s="9" t="b">
        <f t="shared" si="2"/>
        <v>1</v>
      </c>
      <c r="U97" s="13"/>
      <c r="V97" s="13"/>
      <c r="W97" s="13"/>
      <c r="X97" s="13"/>
      <c r="Y97" s="13"/>
      <c r="Z97" s="13"/>
    </row>
    <row r="98" ht="18.0" customHeight="1">
      <c r="A98" s="5" t="s">
        <v>882</v>
      </c>
      <c r="B98" s="5" t="s">
        <v>188</v>
      </c>
      <c r="C98" s="5" t="s">
        <v>88</v>
      </c>
      <c r="D98" s="12">
        <v>45604.08584490741</v>
      </c>
      <c r="E98" s="12">
        <v>45604.16917824074</v>
      </c>
      <c r="F98" s="12">
        <v>45606.08584490741</v>
      </c>
      <c r="G98" s="12">
        <v>45610.08584490741</v>
      </c>
      <c r="H98" s="12">
        <v>45612.08584490741</v>
      </c>
      <c r="I98" s="5" t="s">
        <v>190</v>
      </c>
      <c r="J98" s="5" t="s">
        <v>342</v>
      </c>
      <c r="K98" s="5" t="s">
        <v>406</v>
      </c>
      <c r="L98" s="5" t="s">
        <v>46</v>
      </c>
      <c r="M98" s="5" t="s">
        <v>192</v>
      </c>
      <c r="N98" s="9" t="str">
        <f>IFERROR(VLOOKUP(I98,Customers!$B$2:$L$81,11,FALSE),"")</f>
        <v>EMP006</v>
      </c>
      <c r="O98" s="15">
        <f>SUMIF(OderItems!$A$2:$A$510,A98,OderItems!$L$2:$L$510)</f>
        <v>400000</v>
      </c>
      <c r="P98" s="15">
        <f>SUMIF(OderItems!$A$2:$A$510,A98,OderItems!$G$2:$G$510)</f>
        <v>5000</v>
      </c>
      <c r="Q98" s="15">
        <f>SUMIF(OderItems!$A$2:$A$510,A98,OderItems!$K$2:$K$510)</f>
        <v>0</v>
      </c>
      <c r="R98" s="15">
        <f t="shared" si="1"/>
        <v>405000</v>
      </c>
      <c r="S98" s="16" t="s">
        <v>79</v>
      </c>
      <c r="T98" s="9" t="b">
        <f t="shared" si="2"/>
        <v>1</v>
      </c>
      <c r="U98" s="13"/>
      <c r="V98" s="13"/>
      <c r="W98" s="13"/>
      <c r="X98" s="13"/>
      <c r="Y98" s="13"/>
      <c r="Z98" s="13"/>
    </row>
    <row r="99" ht="18.0" customHeight="1">
      <c r="A99" s="5" t="s">
        <v>883</v>
      </c>
      <c r="B99" s="5" t="s">
        <v>247</v>
      </c>
      <c r="C99" s="5" t="s">
        <v>88</v>
      </c>
      <c r="D99" s="12">
        <v>45507.18125</v>
      </c>
      <c r="E99" s="12">
        <v>45507.26458333333</v>
      </c>
      <c r="F99" s="12">
        <v>45509.18125</v>
      </c>
      <c r="G99" s="12">
        <v>45513.18125</v>
      </c>
      <c r="H99" s="12">
        <v>45515.18125</v>
      </c>
      <c r="I99" s="5" t="s">
        <v>254</v>
      </c>
      <c r="J99" s="5" t="s">
        <v>471</v>
      </c>
      <c r="K99" s="5" t="s">
        <v>258</v>
      </c>
      <c r="L99" s="5" t="s">
        <v>154</v>
      </c>
      <c r="M99" s="5" t="s">
        <v>260</v>
      </c>
      <c r="N99" s="9" t="str">
        <f>IFERROR(VLOOKUP(I99,Customers!$B$2:$L$81,11,FALSE),"")</f>
        <v>EMP008</v>
      </c>
      <c r="O99" s="15">
        <f>SUMIF(OderItems!$A$2:$A$510,A99,OderItems!$L$2:$L$510)</f>
        <v>1596000</v>
      </c>
      <c r="P99" s="15">
        <f>SUMIF(OderItems!$A$2:$A$510,A99,OderItems!$G$2:$G$510)</f>
        <v>24000</v>
      </c>
      <c r="Q99" s="15">
        <f>SUMIF(OderItems!$A$2:$A$510,A99,OderItems!$K$2:$K$510)</f>
        <v>0</v>
      </c>
      <c r="R99" s="15">
        <f t="shared" si="1"/>
        <v>1620000</v>
      </c>
      <c r="S99" s="16" t="s">
        <v>79</v>
      </c>
      <c r="T99" s="9" t="b">
        <f t="shared" si="2"/>
        <v>1</v>
      </c>
      <c r="U99" s="13"/>
      <c r="V99" s="13"/>
      <c r="W99" s="13"/>
      <c r="X99" s="13"/>
      <c r="Y99" s="13"/>
      <c r="Z99" s="13"/>
    </row>
    <row r="100" ht="18.0" customHeight="1">
      <c r="A100" s="5" t="s">
        <v>885</v>
      </c>
      <c r="B100" s="5" t="s">
        <v>85</v>
      </c>
      <c r="C100" s="5" t="s">
        <v>88</v>
      </c>
      <c r="D100" s="12">
        <v>45544.853368055556</v>
      </c>
      <c r="E100" s="12">
        <v>45544.93670138889</v>
      </c>
      <c r="F100" s="12">
        <v>45546.853368055556</v>
      </c>
      <c r="G100" s="12">
        <v>45550.853368055556</v>
      </c>
      <c r="H100" s="12">
        <v>45552.853368055556</v>
      </c>
      <c r="I100" s="5" t="s">
        <v>95</v>
      </c>
      <c r="J100" s="5" t="s">
        <v>404</v>
      </c>
      <c r="K100" s="5" t="s">
        <v>406</v>
      </c>
      <c r="L100" s="5" t="s">
        <v>74</v>
      </c>
      <c r="M100" s="5" t="s">
        <v>96</v>
      </c>
      <c r="N100" s="9" t="str">
        <f>IFERROR(VLOOKUP(I100,Customers!$B$2:$L$81,11,FALSE),"")</f>
        <v>EMP001</v>
      </c>
      <c r="O100" s="15">
        <f>SUMIF(OderItems!$A$2:$A$510,A100,OderItems!$L$2:$L$510)</f>
        <v>1139000</v>
      </c>
      <c r="P100" s="15">
        <f>SUMIF(OderItems!$A$2:$A$510,A100,OderItems!$G$2:$G$510)</f>
        <v>20000</v>
      </c>
      <c r="Q100" s="15">
        <f>SUMIF(OderItems!$A$2:$A$510,A100,OderItems!$K$2:$K$510)</f>
        <v>0</v>
      </c>
      <c r="R100" s="15">
        <f t="shared" si="1"/>
        <v>1159000</v>
      </c>
      <c r="S100" s="16" t="s">
        <v>79</v>
      </c>
      <c r="T100" s="9" t="b">
        <f t="shared" si="2"/>
        <v>1</v>
      </c>
      <c r="U100" s="13"/>
      <c r="V100" s="13"/>
      <c r="W100" s="13"/>
      <c r="X100" s="13"/>
      <c r="Y100" s="13"/>
      <c r="Z100" s="13"/>
    </row>
    <row r="101" ht="18.0" customHeight="1">
      <c r="A101" s="5" t="s">
        <v>886</v>
      </c>
      <c r="B101" s="5" t="s">
        <v>93</v>
      </c>
      <c r="C101" s="5" t="s">
        <v>88</v>
      </c>
      <c r="D101" s="12">
        <v>45431.311261574076</v>
      </c>
      <c r="E101" s="12">
        <v>45431.394594907404</v>
      </c>
      <c r="F101" s="12">
        <v>45433.311261574076</v>
      </c>
      <c r="G101" s="12">
        <v>45437.311261574076</v>
      </c>
      <c r="H101" s="12">
        <v>45439.311261574076</v>
      </c>
      <c r="I101" s="5" t="s">
        <v>94</v>
      </c>
      <c r="J101" s="5" t="s">
        <v>471</v>
      </c>
      <c r="K101" s="5" t="s">
        <v>102</v>
      </c>
      <c r="L101" s="5" t="s">
        <v>74</v>
      </c>
      <c r="M101" s="5" t="s">
        <v>96</v>
      </c>
      <c r="N101" s="9" t="str">
        <f>IFERROR(VLOOKUP(I101,Customers!$B$2:$L$81,11,FALSE),"")</f>
        <v>EMP004</v>
      </c>
      <c r="O101" s="15">
        <f>SUMIF(OderItems!$A$2:$A$510,A101,OderItems!$L$2:$L$510)</f>
        <v>2490000</v>
      </c>
      <c r="P101" s="15">
        <f>SUMIF(OderItems!$A$2:$A$510,A101,OderItems!$G$2:$G$510)</f>
        <v>32000</v>
      </c>
      <c r="Q101" s="15">
        <f>SUMIF(OderItems!$A$2:$A$510,A101,OderItems!$K$2:$K$510)</f>
        <v>0</v>
      </c>
      <c r="R101" s="15">
        <f t="shared" si="1"/>
        <v>2522000</v>
      </c>
      <c r="S101" s="16" t="s">
        <v>79</v>
      </c>
      <c r="T101" s="9" t="b">
        <f t="shared" si="2"/>
        <v>1</v>
      </c>
      <c r="U101" s="13"/>
      <c r="V101" s="13"/>
      <c r="W101" s="13"/>
      <c r="X101" s="13"/>
      <c r="Y101" s="13"/>
      <c r="Z101" s="13"/>
    </row>
    <row r="102" ht="18.0" customHeight="1">
      <c r="A102" s="5" t="s">
        <v>888</v>
      </c>
      <c r="B102" s="5" t="s">
        <v>120</v>
      </c>
      <c r="C102" s="5" t="s">
        <v>751</v>
      </c>
      <c r="D102" s="12">
        <v>45797.9774537037</v>
      </c>
      <c r="E102" s="12">
        <v>45798.06078703704</v>
      </c>
      <c r="F102" s="18"/>
      <c r="G102" s="18"/>
      <c r="H102" s="12">
        <v>45805.9774537037</v>
      </c>
      <c r="I102" s="5" t="s">
        <v>121</v>
      </c>
      <c r="J102" s="5" t="s">
        <v>342</v>
      </c>
      <c r="K102" s="5" t="s">
        <v>102</v>
      </c>
      <c r="L102" s="5" t="s">
        <v>74</v>
      </c>
      <c r="M102" s="5" t="s">
        <v>123</v>
      </c>
      <c r="N102" s="9" t="str">
        <f>IFERROR(VLOOKUP(I102,Customers!$B$2:$L$81,11,FALSE),"")</f>
        <v>EMP007</v>
      </c>
      <c r="O102" s="15">
        <f>SUMIF(OderItems!$A$2:$A$510,A102,OderItems!$L$2:$L$510)</f>
        <v>1345000</v>
      </c>
      <c r="P102" s="15">
        <f>SUMIF(OderItems!$A$2:$A$510,A102,OderItems!$G$2:$G$510)</f>
        <v>30000</v>
      </c>
      <c r="Q102" s="15">
        <f>SUMIF(OderItems!$A$2:$A$510,A102,OderItems!$K$2:$K$510)</f>
        <v>0</v>
      </c>
      <c r="R102" s="15">
        <f t="shared" si="1"/>
        <v>1375000</v>
      </c>
      <c r="S102" s="16" t="s">
        <v>79</v>
      </c>
      <c r="T102" s="9" t="b">
        <f t="shared" si="2"/>
        <v>0</v>
      </c>
      <c r="U102" s="13"/>
      <c r="V102" s="13"/>
      <c r="W102" s="13"/>
      <c r="X102" s="13"/>
      <c r="Y102" s="13"/>
      <c r="Z102" s="13"/>
    </row>
    <row r="103" ht="18.0" customHeight="1">
      <c r="A103" s="5" t="s">
        <v>889</v>
      </c>
      <c r="B103" s="5" t="s">
        <v>284</v>
      </c>
      <c r="C103" s="5" t="s">
        <v>759</v>
      </c>
      <c r="D103" s="12">
        <v>45657.36209490741</v>
      </c>
      <c r="E103" s="12">
        <v>45657.44542824074</v>
      </c>
      <c r="F103" s="12">
        <v>45659.36209490741</v>
      </c>
      <c r="G103" s="12">
        <v>45663.36209490741</v>
      </c>
      <c r="H103" s="12">
        <v>45665.36209490741</v>
      </c>
      <c r="I103" s="5" t="s">
        <v>285</v>
      </c>
      <c r="J103" s="5" t="s">
        <v>471</v>
      </c>
      <c r="K103" s="5" t="s">
        <v>258</v>
      </c>
      <c r="L103" s="5" t="s">
        <v>74</v>
      </c>
      <c r="M103" s="5" t="s">
        <v>287</v>
      </c>
      <c r="N103" s="9" t="str">
        <f>IFERROR(VLOOKUP(I103,Customers!$B$2:$L$81,11,FALSE),"")</f>
        <v>EMP008</v>
      </c>
      <c r="O103" s="15">
        <f>SUMIF(OderItems!$A$2:$A$510,A103,OderItems!$L$2:$L$510)</f>
        <v>1549000</v>
      </c>
      <c r="P103" s="15">
        <f>SUMIF(OderItems!$A$2:$A$510,A103,OderItems!$G$2:$G$510)</f>
        <v>34000</v>
      </c>
      <c r="Q103" s="15">
        <f>SUMIF(OderItems!$A$2:$A$510,A103,OderItems!$K$2:$K$510)</f>
        <v>0</v>
      </c>
      <c r="R103" s="15">
        <f t="shared" si="1"/>
        <v>1583000</v>
      </c>
      <c r="S103" s="16" t="s">
        <v>79</v>
      </c>
      <c r="T103" s="9" t="b">
        <f t="shared" si="2"/>
        <v>0</v>
      </c>
      <c r="U103" s="13"/>
      <c r="V103" s="13"/>
      <c r="W103" s="13"/>
      <c r="X103" s="13"/>
      <c r="Y103" s="13"/>
      <c r="Z103" s="13"/>
    </row>
    <row r="104" ht="18.0" customHeight="1">
      <c r="A104" s="5" t="s">
        <v>890</v>
      </c>
      <c r="B104" s="5" t="s">
        <v>371</v>
      </c>
      <c r="C104" s="5" t="s">
        <v>759</v>
      </c>
      <c r="D104" s="12">
        <v>45839.4665625</v>
      </c>
      <c r="E104" s="12">
        <v>45839.549895833334</v>
      </c>
      <c r="F104" s="12">
        <v>45841.4665625</v>
      </c>
      <c r="G104" s="12">
        <v>45845.4665625</v>
      </c>
      <c r="H104" s="12">
        <v>45847.4665625</v>
      </c>
      <c r="I104" s="5" t="s">
        <v>372</v>
      </c>
      <c r="J104" s="5" t="s">
        <v>100</v>
      </c>
      <c r="K104" s="5" t="s">
        <v>102</v>
      </c>
      <c r="L104" s="5" t="s">
        <v>74</v>
      </c>
      <c r="M104" s="5" t="s">
        <v>123</v>
      </c>
      <c r="N104" s="9" t="str">
        <f>IFERROR(VLOOKUP(I104,Customers!$B$2:$L$81,11,FALSE),"")</f>
        <v>EMP002</v>
      </c>
      <c r="O104" s="15">
        <f>SUMIF(OderItems!$A$2:$A$510,A104,OderItems!$L$2:$L$510)</f>
        <v>255000</v>
      </c>
      <c r="P104" s="15">
        <f>SUMIF(OderItems!$A$2:$A$510,A104,OderItems!$G$2:$G$510)</f>
        <v>5000</v>
      </c>
      <c r="Q104" s="15">
        <f>SUMIF(OderItems!$A$2:$A$510,A104,OderItems!$K$2:$K$510)</f>
        <v>0</v>
      </c>
      <c r="R104" s="15">
        <f t="shared" si="1"/>
        <v>260000</v>
      </c>
      <c r="S104" s="16" t="s">
        <v>79</v>
      </c>
      <c r="T104" s="9" t="b">
        <f t="shared" si="2"/>
        <v>0</v>
      </c>
      <c r="U104" s="13"/>
      <c r="V104" s="13"/>
      <c r="W104" s="13"/>
      <c r="X104" s="13"/>
      <c r="Y104" s="13"/>
      <c r="Z104" s="13"/>
    </row>
    <row r="105" ht="18.0" customHeight="1">
      <c r="A105" s="5" t="s">
        <v>892</v>
      </c>
      <c r="B105" s="5" t="s">
        <v>113</v>
      </c>
      <c r="C105" s="5" t="s">
        <v>759</v>
      </c>
      <c r="D105" s="12">
        <v>46011.60658564815</v>
      </c>
      <c r="E105" s="12">
        <v>46011.68991898148</v>
      </c>
      <c r="F105" s="12">
        <v>46013.60658564815</v>
      </c>
      <c r="G105" s="12">
        <v>46017.60658564815</v>
      </c>
      <c r="H105" s="12">
        <v>46019.60658564815</v>
      </c>
      <c r="I105" s="5" t="s">
        <v>114</v>
      </c>
      <c r="J105" s="5" t="s">
        <v>100</v>
      </c>
      <c r="K105" s="5" t="s">
        <v>258</v>
      </c>
      <c r="L105" s="5" t="s">
        <v>74</v>
      </c>
      <c r="M105" s="5" t="s">
        <v>96</v>
      </c>
      <c r="N105" s="9" t="str">
        <f>IFERROR(VLOOKUP(I105,Customers!$B$2:$L$81,11,FALSE),"")</f>
        <v>EMP006</v>
      </c>
      <c r="O105" s="15">
        <f>SUMIF(OderItems!$A$2:$A$510,A105,OderItems!$L$2:$L$510)</f>
        <v>866000</v>
      </c>
      <c r="P105" s="15">
        <f>SUMIF(OderItems!$A$2:$A$510,A105,OderItems!$G$2:$G$510)</f>
        <v>15000</v>
      </c>
      <c r="Q105" s="15">
        <f>SUMIF(OderItems!$A$2:$A$510,A105,OderItems!$K$2:$K$510)</f>
        <v>0</v>
      </c>
      <c r="R105" s="15">
        <f t="shared" si="1"/>
        <v>881000</v>
      </c>
      <c r="S105" s="16" t="s">
        <v>79</v>
      </c>
      <c r="T105" s="9" t="b">
        <f t="shared" si="2"/>
        <v>0</v>
      </c>
      <c r="U105" s="13"/>
      <c r="V105" s="13"/>
      <c r="W105" s="13"/>
      <c r="X105" s="13"/>
      <c r="Y105" s="13"/>
      <c r="Z105" s="13"/>
    </row>
    <row r="106" ht="18.0" customHeight="1">
      <c r="A106" s="5" t="s">
        <v>893</v>
      </c>
      <c r="B106" s="5" t="s">
        <v>421</v>
      </c>
      <c r="C106" s="5" t="s">
        <v>759</v>
      </c>
      <c r="D106" s="12">
        <v>45611.024872685186</v>
      </c>
      <c r="E106" s="12">
        <v>45611.10820601852</v>
      </c>
      <c r="F106" s="12">
        <v>45613.024872685186</v>
      </c>
      <c r="G106" s="12">
        <v>45617.024872685186</v>
      </c>
      <c r="H106" s="12">
        <v>45619.024872685186</v>
      </c>
      <c r="I106" s="5" t="s">
        <v>422</v>
      </c>
      <c r="J106" s="5" t="s">
        <v>471</v>
      </c>
      <c r="K106" s="5" t="s">
        <v>344</v>
      </c>
      <c r="L106" s="5" t="s">
        <v>46</v>
      </c>
      <c r="M106" s="5" t="s">
        <v>39</v>
      </c>
      <c r="N106" s="9" t="str">
        <f>IFERROR(VLOOKUP(I106,Customers!$B$2:$L$81,11,FALSE),"")</f>
        <v>EMP008</v>
      </c>
      <c r="O106" s="15">
        <f>SUMIF(OderItems!$A$2:$A$510,A106,OderItems!$L$2:$L$510)</f>
        <v>780000</v>
      </c>
      <c r="P106" s="15">
        <f>SUMIF(OderItems!$A$2:$A$510,A106,OderItems!$G$2:$G$510)</f>
        <v>10000</v>
      </c>
      <c r="Q106" s="15">
        <f>SUMIF(OderItems!$A$2:$A$510,A106,OderItems!$K$2:$K$510)</f>
        <v>0</v>
      </c>
      <c r="R106" s="15">
        <f t="shared" si="1"/>
        <v>790000</v>
      </c>
      <c r="S106" s="16" t="s">
        <v>79</v>
      </c>
      <c r="T106" s="9" t="b">
        <f t="shared" si="2"/>
        <v>0</v>
      </c>
      <c r="U106" s="13"/>
      <c r="V106" s="13"/>
      <c r="W106" s="13"/>
      <c r="X106" s="13"/>
      <c r="Y106" s="13"/>
      <c r="Z106" s="13"/>
    </row>
    <row r="107" ht="18.0" customHeight="1">
      <c r="A107" s="5" t="s">
        <v>895</v>
      </c>
      <c r="B107" s="5" t="s">
        <v>564</v>
      </c>
      <c r="C107" s="5" t="s">
        <v>88</v>
      </c>
      <c r="D107" s="12">
        <v>46084.703368055554</v>
      </c>
      <c r="E107" s="12">
        <v>46084.78670138889</v>
      </c>
      <c r="F107" s="12">
        <v>46086.703368055554</v>
      </c>
      <c r="G107" s="12">
        <v>46090.703368055554</v>
      </c>
      <c r="H107" s="12">
        <v>46092.703368055554</v>
      </c>
      <c r="I107" s="5" t="s">
        <v>566</v>
      </c>
      <c r="J107" s="5" t="s">
        <v>471</v>
      </c>
      <c r="K107" s="5" t="s">
        <v>102</v>
      </c>
      <c r="L107" s="5" t="s">
        <v>74</v>
      </c>
      <c r="M107" s="5" t="s">
        <v>96</v>
      </c>
      <c r="N107" s="9" t="str">
        <f>IFERROR(VLOOKUP(I107,Customers!$B$2:$L$81,11,FALSE),"")</f>
        <v>EMP004</v>
      </c>
      <c r="O107" s="15">
        <f>SUMIF(OderItems!$A$2:$A$510,A107,OderItems!$L$2:$L$510)</f>
        <v>2214000</v>
      </c>
      <c r="P107" s="15">
        <f>SUMIF(OderItems!$A$2:$A$510,A107,OderItems!$G$2:$G$510)</f>
        <v>36000</v>
      </c>
      <c r="Q107" s="15">
        <f>SUMIF(OderItems!$A$2:$A$510,A107,OderItems!$K$2:$K$510)</f>
        <v>0</v>
      </c>
      <c r="R107" s="15">
        <f t="shared" si="1"/>
        <v>2250000</v>
      </c>
      <c r="S107" s="16" t="s">
        <v>79</v>
      </c>
      <c r="T107" s="9" t="b">
        <f t="shared" si="2"/>
        <v>1</v>
      </c>
      <c r="U107" s="13"/>
      <c r="V107" s="13"/>
      <c r="W107" s="13"/>
      <c r="X107" s="13"/>
      <c r="Y107" s="13"/>
      <c r="Z107" s="13"/>
    </row>
    <row r="108" ht="18.0" customHeight="1">
      <c r="A108" s="5" t="s">
        <v>896</v>
      </c>
      <c r="B108" s="5" t="s">
        <v>395</v>
      </c>
      <c r="C108" s="5" t="s">
        <v>759</v>
      </c>
      <c r="D108" s="12">
        <v>46016.57237268519</v>
      </c>
      <c r="E108" s="12">
        <v>46016.655706018515</v>
      </c>
      <c r="F108" s="12">
        <v>46018.57237268519</v>
      </c>
      <c r="G108" s="12">
        <v>46022.57237268519</v>
      </c>
      <c r="H108" s="12">
        <v>46024.57237268519</v>
      </c>
      <c r="I108" s="5" t="s">
        <v>396</v>
      </c>
      <c r="J108" s="5" t="s">
        <v>471</v>
      </c>
      <c r="K108" s="5" t="s">
        <v>258</v>
      </c>
      <c r="L108" s="5" t="s">
        <v>46</v>
      </c>
      <c r="M108" s="5" t="s">
        <v>39</v>
      </c>
      <c r="N108" s="9" t="str">
        <f>IFERROR(VLOOKUP(I108,Customers!$B$2:$L$81,11,FALSE),"")</f>
        <v>EMP005</v>
      </c>
      <c r="O108" s="15">
        <f>SUMIF(OderItems!$A$2:$A$510,A108,OderItems!$L$2:$L$510)</f>
        <v>1685000</v>
      </c>
      <c r="P108" s="15">
        <f>SUMIF(OderItems!$A$2:$A$510,A108,OderItems!$G$2:$G$510)</f>
        <v>25000</v>
      </c>
      <c r="Q108" s="15">
        <f>SUMIF(OderItems!$A$2:$A$510,A108,OderItems!$K$2:$K$510)</f>
        <v>0</v>
      </c>
      <c r="R108" s="15">
        <f t="shared" si="1"/>
        <v>1710000</v>
      </c>
      <c r="S108" s="16" t="s">
        <v>79</v>
      </c>
      <c r="T108" s="9" t="b">
        <f t="shared" si="2"/>
        <v>0</v>
      </c>
      <c r="U108" s="13"/>
      <c r="V108" s="13"/>
      <c r="W108" s="13"/>
      <c r="X108" s="13"/>
      <c r="Y108" s="13"/>
      <c r="Z108" s="13"/>
    </row>
    <row r="109" ht="18.0" customHeight="1">
      <c r="A109" s="5" t="s">
        <v>898</v>
      </c>
      <c r="B109" s="5" t="s">
        <v>67</v>
      </c>
      <c r="C109" s="5" t="s">
        <v>692</v>
      </c>
      <c r="D109" s="12">
        <v>46021.61856481482</v>
      </c>
      <c r="E109" s="18"/>
      <c r="F109" s="18"/>
      <c r="G109" s="18"/>
      <c r="H109" s="12">
        <v>46029.61856481482</v>
      </c>
      <c r="I109" s="5" t="s">
        <v>68</v>
      </c>
      <c r="J109" s="5" t="s">
        <v>404</v>
      </c>
      <c r="K109" s="5" t="s">
        <v>406</v>
      </c>
      <c r="L109" s="5" t="s">
        <v>74</v>
      </c>
      <c r="M109" s="5" t="s">
        <v>70</v>
      </c>
      <c r="N109" s="9" t="str">
        <f>IFERROR(VLOOKUP(I109,Customers!$B$2:$L$81,11,FALSE),"")</f>
        <v>EMP002</v>
      </c>
      <c r="O109" s="15">
        <f>SUMIF(OderItems!$A$2:$A$510,A109,OderItems!$L$2:$L$510)</f>
        <v>540000</v>
      </c>
      <c r="P109" s="15">
        <f>SUMIF(OderItems!$A$2:$A$510,A109,OderItems!$G$2:$G$510)</f>
        <v>7000</v>
      </c>
      <c r="Q109" s="15">
        <f>SUMIF(OderItems!$A$2:$A$510,A109,OderItems!$K$2:$K$510)</f>
        <v>0</v>
      </c>
      <c r="R109" s="15">
        <f t="shared" si="1"/>
        <v>547000</v>
      </c>
      <c r="S109" s="16" t="s">
        <v>79</v>
      </c>
      <c r="T109" s="9" t="b">
        <f t="shared" si="2"/>
        <v>0</v>
      </c>
      <c r="U109" s="13"/>
      <c r="V109" s="13"/>
      <c r="W109" s="13"/>
      <c r="X109" s="13"/>
      <c r="Y109" s="13"/>
      <c r="Z109" s="13"/>
    </row>
    <row r="110" ht="18.0" customHeight="1">
      <c r="A110" s="5" t="s">
        <v>899</v>
      </c>
      <c r="B110" s="5" t="s">
        <v>377</v>
      </c>
      <c r="C110" s="5" t="s">
        <v>88</v>
      </c>
      <c r="D110" s="12">
        <v>45575.44782407407</v>
      </c>
      <c r="E110" s="12">
        <v>45575.53115740741</v>
      </c>
      <c r="F110" s="12">
        <v>45577.44782407407</v>
      </c>
      <c r="G110" s="12">
        <v>45581.44782407407</v>
      </c>
      <c r="H110" s="12">
        <v>45583.44782407407</v>
      </c>
      <c r="I110" s="5" t="s">
        <v>378</v>
      </c>
      <c r="J110" s="5" t="s">
        <v>471</v>
      </c>
      <c r="K110" s="5" t="s">
        <v>102</v>
      </c>
      <c r="L110" s="5" t="s">
        <v>154</v>
      </c>
      <c r="M110" s="5" t="s">
        <v>379</v>
      </c>
      <c r="N110" s="9" t="str">
        <f>IFERROR(VLOOKUP(I110,Customers!$B$2:$L$81,11,FALSE),"")</f>
        <v>EMP003</v>
      </c>
      <c r="O110" s="15">
        <f>SUMIF(OderItems!$A$2:$A$510,A110,OderItems!$L$2:$L$510)</f>
        <v>880000</v>
      </c>
      <c r="P110" s="15">
        <f>SUMIF(OderItems!$A$2:$A$510,A110,OderItems!$G$2:$G$510)</f>
        <v>13000</v>
      </c>
      <c r="Q110" s="15">
        <f>SUMIF(OderItems!$A$2:$A$510,A110,OderItems!$K$2:$K$510)</f>
        <v>0</v>
      </c>
      <c r="R110" s="15">
        <f t="shared" si="1"/>
        <v>893000</v>
      </c>
      <c r="S110" s="16" t="s">
        <v>79</v>
      </c>
      <c r="T110" s="9" t="b">
        <f t="shared" si="2"/>
        <v>1</v>
      </c>
      <c r="U110" s="13"/>
      <c r="V110" s="13"/>
      <c r="W110" s="13"/>
      <c r="X110" s="13"/>
      <c r="Y110" s="13"/>
      <c r="Z110" s="13"/>
    </row>
    <row r="111" ht="18.0" customHeight="1">
      <c r="A111" s="5" t="s">
        <v>901</v>
      </c>
      <c r="B111" s="5" t="s">
        <v>498</v>
      </c>
      <c r="C111" s="5" t="s">
        <v>88</v>
      </c>
      <c r="D111" s="12">
        <v>45876.38553240741</v>
      </c>
      <c r="E111" s="12">
        <v>45876.46886574074</v>
      </c>
      <c r="F111" s="12">
        <v>45878.38553240741</v>
      </c>
      <c r="G111" s="12">
        <v>45882.38553240741</v>
      </c>
      <c r="H111" s="12">
        <v>45884.38553240741</v>
      </c>
      <c r="I111" s="5" t="s">
        <v>499</v>
      </c>
      <c r="J111" s="5" t="s">
        <v>342</v>
      </c>
      <c r="K111" s="5" t="s">
        <v>102</v>
      </c>
      <c r="L111" s="5" t="s">
        <v>154</v>
      </c>
      <c r="M111" s="5" t="s">
        <v>215</v>
      </c>
      <c r="N111" s="9" t="str">
        <f>IFERROR(VLOOKUP(I111,Customers!$B$2:$L$81,11,FALSE),"")</f>
        <v>EMP002</v>
      </c>
      <c r="O111" s="15">
        <f>SUMIF(OderItems!$A$2:$A$510,A111,OderItems!$L$2:$L$510)</f>
        <v>488000</v>
      </c>
      <c r="P111" s="15">
        <f>SUMIF(OderItems!$A$2:$A$510,A111,OderItems!$G$2:$G$510)</f>
        <v>4000</v>
      </c>
      <c r="Q111" s="15">
        <f>SUMIF(OderItems!$A$2:$A$510,A111,OderItems!$K$2:$K$510)</f>
        <v>0</v>
      </c>
      <c r="R111" s="15">
        <f t="shared" si="1"/>
        <v>492000</v>
      </c>
      <c r="S111" s="16" t="s">
        <v>79</v>
      </c>
      <c r="T111" s="9" t="b">
        <f t="shared" si="2"/>
        <v>1</v>
      </c>
      <c r="U111" s="13"/>
      <c r="V111" s="13"/>
      <c r="W111" s="13"/>
      <c r="X111" s="13"/>
      <c r="Y111" s="13"/>
      <c r="Z111" s="13"/>
    </row>
    <row r="112" ht="18.0" customHeight="1">
      <c r="A112" s="5" t="s">
        <v>902</v>
      </c>
      <c r="B112" s="5" t="s">
        <v>443</v>
      </c>
      <c r="C112" s="5" t="s">
        <v>88</v>
      </c>
      <c r="D112" s="12">
        <v>46002.86876157407</v>
      </c>
      <c r="E112" s="12">
        <v>46002.95209490741</v>
      </c>
      <c r="F112" s="12">
        <v>46004.86876157407</v>
      </c>
      <c r="G112" s="12">
        <v>46008.86876157407</v>
      </c>
      <c r="H112" s="12">
        <v>46010.86876157407</v>
      </c>
      <c r="I112" s="5" t="s">
        <v>444</v>
      </c>
      <c r="J112" s="5" t="s">
        <v>342</v>
      </c>
      <c r="K112" s="5" t="s">
        <v>258</v>
      </c>
      <c r="L112" s="5" t="s">
        <v>154</v>
      </c>
      <c r="M112" s="5" t="s">
        <v>260</v>
      </c>
      <c r="N112" s="9" t="str">
        <f>IFERROR(VLOOKUP(I112,Customers!$B$2:$L$81,11,FALSE),"")</f>
        <v>EMP003</v>
      </c>
      <c r="O112" s="15">
        <f>SUMIF(OderItems!$A$2:$A$510,A112,OderItems!$L$2:$L$510)</f>
        <v>1065000</v>
      </c>
      <c r="P112" s="15">
        <f>SUMIF(OderItems!$A$2:$A$510,A112,OderItems!$G$2:$G$510)</f>
        <v>25000</v>
      </c>
      <c r="Q112" s="15">
        <f>SUMIF(OderItems!$A$2:$A$510,A112,OderItems!$K$2:$K$510)</f>
        <v>0</v>
      </c>
      <c r="R112" s="15">
        <f t="shared" si="1"/>
        <v>1090000</v>
      </c>
      <c r="S112" s="16" t="s">
        <v>79</v>
      </c>
      <c r="T112" s="9" t="b">
        <f t="shared" si="2"/>
        <v>1</v>
      </c>
      <c r="U112" s="13"/>
      <c r="V112" s="13"/>
      <c r="W112" s="13"/>
      <c r="X112" s="13"/>
      <c r="Y112" s="13"/>
      <c r="Z112" s="13"/>
    </row>
    <row r="113" ht="18.0" customHeight="1">
      <c r="A113" s="5" t="s">
        <v>904</v>
      </c>
      <c r="B113" s="5" t="s">
        <v>363</v>
      </c>
      <c r="C113" s="5" t="s">
        <v>88</v>
      </c>
      <c r="D113" s="12">
        <v>46169.05432870371</v>
      </c>
      <c r="E113" s="12">
        <v>46169.137662037036</v>
      </c>
      <c r="F113" s="12">
        <v>46171.05432870371</v>
      </c>
      <c r="G113" s="12">
        <v>46175.05432870371</v>
      </c>
      <c r="H113" s="12">
        <v>46177.05432870371</v>
      </c>
      <c r="I113" s="5" t="s">
        <v>364</v>
      </c>
      <c r="J113" s="5" t="s">
        <v>404</v>
      </c>
      <c r="K113" s="5" t="s">
        <v>344</v>
      </c>
      <c r="L113" s="5" t="s">
        <v>74</v>
      </c>
      <c r="M113" s="5" t="s">
        <v>142</v>
      </c>
      <c r="N113" s="9" t="str">
        <f>IFERROR(VLOOKUP(I113,Customers!$B$2:$L$81,11,FALSE),"")</f>
        <v>EMP001</v>
      </c>
      <c r="O113" s="15">
        <f>SUMIF(OderItems!$A$2:$A$510,A113,OderItems!$L$2:$L$510)</f>
        <v>1386000</v>
      </c>
      <c r="P113" s="15">
        <f>SUMIF(OderItems!$A$2:$A$510,A113,OderItems!$G$2:$G$510)</f>
        <v>24000</v>
      </c>
      <c r="Q113" s="15">
        <f>SUMIF(OderItems!$A$2:$A$510,A113,OderItems!$K$2:$K$510)</f>
        <v>0</v>
      </c>
      <c r="R113" s="15">
        <f t="shared" si="1"/>
        <v>1410000</v>
      </c>
      <c r="S113" s="16" t="s">
        <v>79</v>
      </c>
      <c r="T113" s="9" t="b">
        <f t="shared" si="2"/>
        <v>1</v>
      </c>
      <c r="U113" s="13"/>
      <c r="V113" s="13"/>
      <c r="W113" s="13"/>
      <c r="X113" s="13"/>
      <c r="Y113" s="13"/>
      <c r="Z113" s="13"/>
    </row>
    <row r="114" ht="18.0" customHeight="1">
      <c r="A114" s="5" t="s">
        <v>906</v>
      </c>
      <c r="B114" s="5" t="s">
        <v>377</v>
      </c>
      <c r="C114" s="5" t="s">
        <v>88</v>
      </c>
      <c r="D114" s="12">
        <v>45997.39579861111</v>
      </c>
      <c r="E114" s="12">
        <v>45997.47913194444</v>
      </c>
      <c r="F114" s="12">
        <v>45999.39579861111</v>
      </c>
      <c r="G114" s="12">
        <v>46003.39579861111</v>
      </c>
      <c r="H114" s="12">
        <v>46005.39579861111</v>
      </c>
      <c r="I114" s="5" t="s">
        <v>378</v>
      </c>
      <c r="J114" s="5" t="s">
        <v>471</v>
      </c>
      <c r="K114" s="5" t="s">
        <v>344</v>
      </c>
      <c r="L114" s="5" t="s">
        <v>154</v>
      </c>
      <c r="M114" s="5" t="s">
        <v>379</v>
      </c>
      <c r="N114" s="9" t="str">
        <f>IFERROR(VLOOKUP(I114,Customers!$B$2:$L$81,11,FALSE),"")</f>
        <v>EMP003</v>
      </c>
      <c r="O114" s="15">
        <f>SUMIF(OderItems!$A$2:$A$510,A114,OderItems!$L$2:$L$510)</f>
        <v>333000</v>
      </c>
      <c r="P114" s="15">
        <f>SUMIF(OderItems!$A$2:$A$510,A114,OderItems!$G$2:$G$510)</f>
        <v>10000</v>
      </c>
      <c r="Q114" s="15">
        <f>SUMIF(OderItems!$A$2:$A$510,A114,OderItems!$K$2:$K$510)</f>
        <v>0</v>
      </c>
      <c r="R114" s="15">
        <f t="shared" si="1"/>
        <v>343000</v>
      </c>
      <c r="S114" s="16" t="s">
        <v>79</v>
      </c>
      <c r="T114" s="9" t="b">
        <f t="shared" si="2"/>
        <v>1</v>
      </c>
      <c r="U114" s="13"/>
      <c r="V114" s="13"/>
      <c r="W114" s="13"/>
      <c r="X114" s="13"/>
      <c r="Y114" s="13"/>
      <c r="Z114" s="13"/>
    </row>
    <row r="115" ht="18.0" customHeight="1">
      <c r="A115" s="5" t="s">
        <v>907</v>
      </c>
      <c r="B115" s="5" t="s">
        <v>338</v>
      </c>
      <c r="C115" s="5" t="s">
        <v>88</v>
      </c>
      <c r="D115" s="12">
        <v>46218.91869212963</v>
      </c>
      <c r="E115" s="12">
        <v>46219.00202546296</v>
      </c>
      <c r="F115" s="12">
        <v>46220.91869212963</v>
      </c>
      <c r="G115" s="12">
        <v>46224.91869212963</v>
      </c>
      <c r="H115" s="12">
        <v>46226.91869212963</v>
      </c>
      <c r="I115" s="5" t="s">
        <v>339</v>
      </c>
      <c r="J115" s="5" t="s">
        <v>471</v>
      </c>
      <c r="K115" s="5" t="s">
        <v>406</v>
      </c>
      <c r="L115" s="5" t="s">
        <v>74</v>
      </c>
      <c r="M115" s="5" t="s">
        <v>287</v>
      </c>
      <c r="N115" s="9" t="str">
        <f>IFERROR(VLOOKUP(I115,Customers!$B$2:$L$81,11,FALSE),"")</f>
        <v>EMP006</v>
      </c>
      <c r="O115" s="15">
        <f>SUMIF(OderItems!$A$2:$A$510,A115,OderItems!$L$2:$L$510)</f>
        <v>2227000</v>
      </c>
      <c r="P115" s="15">
        <f>SUMIF(OderItems!$A$2:$A$510,A115,OderItems!$G$2:$G$510)</f>
        <v>50000</v>
      </c>
      <c r="Q115" s="15">
        <f>SUMIF(OderItems!$A$2:$A$510,A115,OderItems!$K$2:$K$510)</f>
        <v>0</v>
      </c>
      <c r="R115" s="15">
        <f t="shared" si="1"/>
        <v>2277000</v>
      </c>
      <c r="S115" s="16" t="s">
        <v>79</v>
      </c>
      <c r="T115" s="9" t="b">
        <f t="shared" si="2"/>
        <v>1</v>
      </c>
      <c r="U115" s="13"/>
      <c r="V115" s="13"/>
      <c r="W115" s="13"/>
      <c r="X115" s="13"/>
      <c r="Y115" s="13"/>
      <c r="Z115" s="13"/>
    </row>
    <row r="116" ht="18.0" customHeight="1">
      <c r="A116" s="5" t="s">
        <v>909</v>
      </c>
      <c r="B116" s="5" t="s">
        <v>130</v>
      </c>
      <c r="C116" s="5" t="s">
        <v>88</v>
      </c>
      <c r="D116" s="12">
        <v>45498.652094907404</v>
      </c>
      <c r="E116" s="12">
        <v>45498.73542824074</v>
      </c>
      <c r="F116" s="12">
        <v>45500.652094907404</v>
      </c>
      <c r="G116" s="12">
        <v>45504.652094907404</v>
      </c>
      <c r="H116" s="12">
        <v>45506.652094907404</v>
      </c>
      <c r="I116" s="5" t="s">
        <v>131</v>
      </c>
      <c r="J116" s="5" t="s">
        <v>342</v>
      </c>
      <c r="K116" s="5" t="s">
        <v>258</v>
      </c>
      <c r="L116" s="5" t="s">
        <v>46</v>
      </c>
      <c r="M116" s="5" t="s">
        <v>132</v>
      </c>
      <c r="N116" s="9" t="str">
        <f>IFERROR(VLOOKUP(I116,Customers!$B$2:$L$81,11,FALSE),"")</f>
        <v>EMP008</v>
      </c>
      <c r="O116" s="15">
        <f>SUMIF(OderItems!$A$2:$A$510,A116,OderItems!$L$2:$L$510)</f>
        <v>814000</v>
      </c>
      <c r="P116" s="15">
        <f>SUMIF(OderItems!$A$2:$A$510,A116,OderItems!$G$2:$G$510)</f>
        <v>21000</v>
      </c>
      <c r="Q116" s="15">
        <f>SUMIF(OderItems!$A$2:$A$510,A116,OderItems!$K$2:$K$510)</f>
        <v>0</v>
      </c>
      <c r="R116" s="15">
        <f t="shared" si="1"/>
        <v>835000</v>
      </c>
      <c r="S116" s="16" t="s">
        <v>79</v>
      </c>
      <c r="T116" s="9" t="b">
        <f t="shared" si="2"/>
        <v>1</v>
      </c>
      <c r="U116" s="13"/>
      <c r="V116" s="13"/>
      <c r="W116" s="13"/>
      <c r="X116" s="13"/>
      <c r="Y116" s="13"/>
      <c r="Z116" s="13"/>
    </row>
    <row r="117" ht="18.0" customHeight="1">
      <c r="A117" s="5" t="s">
        <v>911</v>
      </c>
      <c r="B117" s="5" t="s">
        <v>551</v>
      </c>
      <c r="C117" s="5" t="s">
        <v>88</v>
      </c>
      <c r="D117" s="12">
        <v>46027.91287037037</v>
      </c>
      <c r="E117" s="12">
        <v>46027.996203703704</v>
      </c>
      <c r="F117" s="12">
        <v>46029.91287037037</v>
      </c>
      <c r="G117" s="12">
        <v>46033.91287037037</v>
      </c>
      <c r="H117" s="12">
        <v>46035.91287037037</v>
      </c>
      <c r="I117" s="5" t="s">
        <v>552</v>
      </c>
      <c r="J117" s="5" t="s">
        <v>342</v>
      </c>
      <c r="K117" s="5" t="s">
        <v>406</v>
      </c>
      <c r="L117" s="5" t="s">
        <v>46</v>
      </c>
      <c r="M117" s="5" t="s">
        <v>553</v>
      </c>
      <c r="N117" s="9" t="str">
        <f>IFERROR(VLOOKUP(I117,Customers!$B$2:$L$81,11,FALSE),"")</f>
        <v>EMP002</v>
      </c>
      <c r="O117" s="15">
        <f>SUMIF(OderItems!$A$2:$A$510,A117,OderItems!$L$2:$L$510)</f>
        <v>2659000</v>
      </c>
      <c r="P117" s="15">
        <f>SUMIF(OderItems!$A$2:$A$510,A117,OderItems!$G$2:$G$510)</f>
        <v>40000</v>
      </c>
      <c r="Q117" s="15">
        <f>SUMIF(OderItems!$A$2:$A$510,A117,OderItems!$K$2:$K$510)</f>
        <v>0</v>
      </c>
      <c r="R117" s="15">
        <f t="shared" si="1"/>
        <v>2699000</v>
      </c>
      <c r="S117" s="16" t="s">
        <v>79</v>
      </c>
      <c r="T117" s="9" t="b">
        <f t="shared" si="2"/>
        <v>1</v>
      </c>
      <c r="U117" s="13"/>
      <c r="V117" s="13"/>
      <c r="W117" s="13"/>
      <c r="X117" s="13"/>
      <c r="Y117" s="13"/>
      <c r="Z117" s="13"/>
    </row>
    <row r="118" ht="18.0" customHeight="1">
      <c r="A118" s="5" t="s">
        <v>912</v>
      </c>
      <c r="B118" s="5" t="s">
        <v>451</v>
      </c>
      <c r="C118" s="5" t="s">
        <v>692</v>
      </c>
      <c r="D118" s="12">
        <v>45861.27195601852</v>
      </c>
      <c r="E118" s="18"/>
      <c r="F118" s="18"/>
      <c r="G118" s="18"/>
      <c r="H118" s="12">
        <v>45869.27195601852</v>
      </c>
      <c r="I118" s="5" t="s">
        <v>452</v>
      </c>
      <c r="J118" s="5" t="s">
        <v>100</v>
      </c>
      <c r="K118" s="5" t="s">
        <v>102</v>
      </c>
      <c r="L118" s="5" t="s">
        <v>74</v>
      </c>
      <c r="M118" s="5" t="s">
        <v>142</v>
      </c>
      <c r="N118" s="9" t="str">
        <f>IFERROR(VLOOKUP(I118,Customers!$B$2:$L$81,11,FALSE),"")</f>
        <v>EMP004</v>
      </c>
      <c r="O118" s="15">
        <f>SUMIF(OderItems!$A$2:$A$510,A118,OderItems!$L$2:$L$510)</f>
        <v>2193000</v>
      </c>
      <c r="P118" s="15">
        <f>SUMIF(OderItems!$A$2:$A$510,A118,OderItems!$G$2:$G$510)</f>
        <v>46000</v>
      </c>
      <c r="Q118" s="15">
        <f>SUMIF(OderItems!$A$2:$A$510,A118,OderItems!$K$2:$K$510)</f>
        <v>0</v>
      </c>
      <c r="R118" s="15">
        <f t="shared" si="1"/>
        <v>2239000</v>
      </c>
      <c r="S118" s="16" t="s">
        <v>79</v>
      </c>
      <c r="T118" s="9" t="b">
        <f t="shared" si="2"/>
        <v>0</v>
      </c>
      <c r="U118" s="13"/>
      <c r="V118" s="13"/>
      <c r="W118" s="13"/>
      <c r="X118" s="13"/>
      <c r="Y118" s="13"/>
      <c r="Z118" s="13"/>
    </row>
    <row r="119" ht="18.0" customHeight="1">
      <c r="A119" s="5" t="s">
        <v>914</v>
      </c>
      <c r="B119" s="5" t="s">
        <v>329</v>
      </c>
      <c r="C119" s="5" t="s">
        <v>88</v>
      </c>
      <c r="D119" s="12">
        <v>45905.37672453704</v>
      </c>
      <c r="E119" s="12">
        <v>45905.46005787037</v>
      </c>
      <c r="F119" s="12">
        <v>45907.37672453704</v>
      </c>
      <c r="G119" s="12">
        <v>45911.37672453704</v>
      </c>
      <c r="H119" s="12">
        <v>45913.37672453704</v>
      </c>
      <c r="I119" s="5" t="s">
        <v>330</v>
      </c>
      <c r="J119" s="5" t="s">
        <v>404</v>
      </c>
      <c r="K119" s="5" t="s">
        <v>102</v>
      </c>
      <c r="L119" s="5" t="s">
        <v>154</v>
      </c>
      <c r="M119" s="5" t="s">
        <v>215</v>
      </c>
      <c r="N119" s="9" t="str">
        <f>IFERROR(VLOOKUP(I119,Customers!$B$2:$L$81,11,FALSE),"")</f>
        <v>EMP005</v>
      </c>
      <c r="O119" s="15">
        <f>SUMIF(OderItems!$A$2:$A$510,A119,OderItems!$L$2:$L$510)</f>
        <v>320000</v>
      </c>
      <c r="P119" s="15">
        <f>SUMIF(OderItems!$A$2:$A$510,A119,OderItems!$G$2:$G$510)</f>
        <v>10000</v>
      </c>
      <c r="Q119" s="15">
        <f>SUMIF(OderItems!$A$2:$A$510,A119,OderItems!$K$2:$K$510)</f>
        <v>0</v>
      </c>
      <c r="R119" s="15">
        <f t="shared" si="1"/>
        <v>330000</v>
      </c>
      <c r="S119" s="16" t="s">
        <v>79</v>
      </c>
      <c r="T119" s="9" t="b">
        <f t="shared" si="2"/>
        <v>1</v>
      </c>
      <c r="U119" s="13"/>
      <c r="V119" s="13"/>
      <c r="W119" s="13"/>
      <c r="X119" s="13"/>
      <c r="Y119" s="13"/>
      <c r="Z119" s="13"/>
    </row>
    <row r="120" ht="18.0" customHeight="1">
      <c r="A120" s="5" t="s">
        <v>915</v>
      </c>
      <c r="B120" s="5" t="s">
        <v>181</v>
      </c>
      <c r="C120" s="5" t="s">
        <v>88</v>
      </c>
      <c r="D120" s="12">
        <v>45462.306805555556</v>
      </c>
      <c r="E120" s="12">
        <v>45462.39013888889</v>
      </c>
      <c r="F120" s="12">
        <v>45464.306805555556</v>
      </c>
      <c r="G120" s="12">
        <v>45468.306805555556</v>
      </c>
      <c r="H120" s="12">
        <v>45470.306805555556</v>
      </c>
      <c r="I120" s="5" t="s">
        <v>182</v>
      </c>
      <c r="J120" s="5" t="s">
        <v>100</v>
      </c>
      <c r="K120" s="5" t="s">
        <v>406</v>
      </c>
      <c r="L120" s="5" t="s">
        <v>46</v>
      </c>
      <c r="M120" s="5" t="s">
        <v>39</v>
      </c>
      <c r="N120" s="9" t="str">
        <f>IFERROR(VLOOKUP(I120,Customers!$B$2:$L$81,11,FALSE),"")</f>
        <v>EMP005</v>
      </c>
      <c r="O120" s="15">
        <f>SUMIF(OderItems!$A$2:$A$510,A120,OderItems!$L$2:$L$510)</f>
        <v>3070000</v>
      </c>
      <c r="P120" s="15">
        <f>SUMIF(OderItems!$A$2:$A$510,A120,OderItems!$G$2:$G$510)</f>
        <v>44000</v>
      </c>
      <c r="Q120" s="15">
        <f>SUMIF(OderItems!$A$2:$A$510,A120,OderItems!$K$2:$K$510)</f>
        <v>0</v>
      </c>
      <c r="R120" s="15">
        <f t="shared" si="1"/>
        <v>3114000</v>
      </c>
      <c r="S120" s="16" t="s">
        <v>79</v>
      </c>
      <c r="T120" s="9" t="b">
        <f t="shared" si="2"/>
        <v>1</v>
      </c>
      <c r="U120" s="13"/>
      <c r="V120" s="13"/>
      <c r="W120" s="13"/>
      <c r="X120" s="13"/>
      <c r="Y120" s="13"/>
      <c r="Z120" s="13"/>
    </row>
    <row r="121" ht="18.0" customHeight="1">
      <c r="A121" s="5" t="s">
        <v>917</v>
      </c>
      <c r="B121" s="5" t="s">
        <v>276</v>
      </c>
      <c r="C121" s="5" t="s">
        <v>88</v>
      </c>
      <c r="D121" s="12">
        <v>46141.04572916667</v>
      </c>
      <c r="E121" s="12">
        <v>46141.1290625</v>
      </c>
      <c r="F121" s="12">
        <v>46143.04572916667</v>
      </c>
      <c r="G121" s="12">
        <v>46147.04572916667</v>
      </c>
      <c r="H121" s="12">
        <v>46149.04572916667</v>
      </c>
      <c r="I121" s="5" t="s">
        <v>277</v>
      </c>
      <c r="J121" s="5" t="s">
        <v>404</v>
      </c>
      <c r="K121" s="5" t="s">
        <v>258</v>
      </c>
      <c r="L121" s="5" t="s">
        <v>154</v>
      </c>
      <c r="M121" s="5" t="s">
        <v>202</v>
      </c>
      <c r="N121" s="9" t="str">
        <f>IFERROR(VLOOKUP(I121,Customers!$B$2:$L$81,11,FALSE),"")</f>
        <v>EMP007</v>
      </c>
      <c r="O121" s="15">
        <f>SUMIF(OderItems!$A$2:$A$510,A121,OderItems!$L$2:$L$510)</f>
        <v>2872000</v>
      </c>
      <c r="P121" s="15">
        <f>SUMIF(OderItems!$A$2:$A$510,A121,OderItems!$G$2:$G$510)</f>
        <v>43000</v>
      </c>
      <c r="Q121" s="15">
        <f>SUMIF(OderItems!$A$2:$A$510,A121,OderItems!$K$2:$K$510)</f>
        <v>0</v>
      </c>
      <c r="R121" s="15">
        <f t="shared" si="1"/>
        <v>2915000</v>
      </c>
      <c r="S121" s="16" t="s">
        <v>79</v>
      </c>
      <c r="T121" s="9" t="b">
        <f t="shared" si="2"/>
        <v>1</v>
      </c>
      <c r="U121" s="13"/>
      <c r="V121" s="13"/>
      <c r="W121" s="13"/>
      <c r="X121" s="13"/>
      <c r="Y121" s="13"/>
      <c r="Z121" s="13"/>
    </row>
    <row r="122" ht="18.0" customHeight="1">
      <c r="A122" s="5" t="s">
        <v>918</v>
      </c>
      <c r="B122" s="5" t="s">
        <v>212</v>
      </c>
      <c r="C122" s="5" t="s">
        <v>759</v>
      </c>
      <c r="D122" s="12">
        <v>45958.74523148148</v>
      </c>
      <c r="E122" s="12">
        <v>45958.828564814816</v>
      </c>
      <c r="F122" s="12">
        <v>45960.74523148148</v>
      </c>
      <c r="G122" s="12">
        <v>45964.74523148148</v>
      </c>
      <c r="H122" s="12">
        <v>45966.74523148148</v>
      </c>
      <c r="I122" s="5" t="s">
        <v>213</v>
      </c>
      <c r="J122" s="5" t="s">
        <v>342</v>
      </c>
      <c r="K122" s="5" t="s">
        <v>102</v>
      </c>
      <c r="L122" s="5" t="s">
        <v>154</v>
      </c>
      <c r="M122" s="5" t="s">
        <v>215</v>
      </c>
      <c r="N122" s="9" t="str">
        <f>IFERROR(VLOOKUP(I122,Customers!$B$2:$L$81,11,FALSE),"")</f>
        <v>EMP008</v>
      </c>
      <c r="O122" s="15">
        <f>SUMIF(OderItems!$A$2:$A$510,A122,OderItems!$L$2:$L$510)</f>
        <v>1907000</v>
      </c>
      <c r="P122" s="15">
        <f>SUMIF(OderItems!$A$2:$A$510,A122,OderItems!$G$2:$G$510)</f>
        <v>40000</v>
      </c>
      <c r="Q122" s="15">
        <f>SUMIF(OderItems!$A$2:$A$510,A122,OderItems!$K$2:$K$510)</f>
        <v>0</v>
      </c>
      <c r="R122" s="15">
        <f t="shared" si="1"/>
        <v>1947000</v>
      </c>
      <c r="S122" s="16" t="s">
        <v>79</v>
      </c>
      <c r="T122" s="9" t="b">
        <f t="shared" si="2"/>
        <v>0</v>
      </c>
      <c r="U122" s="13"/>
      <c r="V122" s="13"/>
      <c r="W122" s="13"/>
      <c r="X122" s="13"/>
      <c r="Y122" s="13"/>
      <c r="Z122" s="13"/>
    </row>
    <row r="123" ht="18.0" customHeight="1">
      <c r="A123" s="5" t="s">
        <v>920</v>
      </c>
      <c r="B123" s="5" t="s">
        <v>357</v>
      </c>
      <c r="C123" s="5" t="s">
        <v>88</v>
      </c>
      <c r="D123" s="12">
        <v>45674.3190625</v>
      </c>
      <c r="E123" s="12">
        <v>45674.402395833335</v>
      </c>
      <c r="F123" s="12">
        <v>45676.3190625</v>
      </c>
      <c r="G123" s="12">
        <v>45680.3190625</v>
      </c>
      <c r="H123" s="12">
        <v>45682.3190625</v>
      </c>
      <c r="I123" s="5" t="s">
        <v>358</v>
      </c>
      <c r="J123" s="5" t="s">
        <v>404</v>
      </c>
      <c r="K123" s="5" t="s">
        <v>344</v>
      </c>
      <c r="L123" s="5" t="s">
        <v>154</v>
      </c>
      <c r="M123" s="5" t="s">
        <v>151</v>
      </c>
      <c r="N123" s="9" t="str">
        <f>IFERROR(VLOOKUP(I123,Customers!$B$2:$L$81,11,FALSE),"")</f>
        <v>EMP008</v>
      </c>
      <c r="O123" s="15">
        <f>SUMIF(OderItems!$A$2:$A$510,A123,OderItems!$L$2:$L$510)</f>
        <v>901000</v>
      </c>
      <c r="P123" s="15">
        <f>SUMIF(OderItems!$A$2:$A$510,A123,OderItems!$G$2:$G$510)</f>
        <v>18000</v>
      </c>
      <c r="Q123" s="15">
        <f>SUMIF(OderItems!$A$2:$A$510,A123,OderItems!$K$2:$K$510)</f>
        <v>0</v>
      </c>
      <c r="R123" s="15">
        <f t="shared" si="1"/>
        <v>919000</v>
      </c>
      <c r="S123" s="16" t="s">
        <v>79</v>
      </c>
      <c r="T123" s="9" t="b">
        <f t="shared" si="2"/>
        <v>1</v>
      </c>
      <c r="U123" s="13"/>
      <c r="V123" s="13"/>
      <c r="W123" s="13"/>
      <c r="X123" s="13"/>
      <c r="Y123" s="13"/>
      <c r="Z123" s="13"/>
    </row>
    <row r="124" ht="18.0" customHeight="1">
      <c r="A124" s="5" t="s">
        <v>922</v>
      </c>
      <c r="B124" s="5" t="s">
        <v>357</v>
      </c>
      <c r="C124" s="5" t="s">
        <v>88</v>
      </c>
      <c r="D124" s="12">
        <v>46105.99078703704</v>
      </c>
      <c r="E124" s="12">
        <v>46106.07412037037</v>
      </c>
      <c r="F124" s="12">
        <v>46107.99078703704</v>
      </c>
      <c r="G124" s="12">
        <v>46111.99078703704</v>
      </c>
      <c r="H124" s="12">
        <v>46113.99078703704</v>
      </c>
      <c r="I124" s="5" t="s">
        <v>358</v>
      </c>
      <c r="J124" s="5" t="s">
        <v>100</v>
      </c>
      <c r="K124" s="5" t="s">
        <v>406</v>
      </c>
      <c r="L124" s="5" t="s">
        <v>154</v>
      </c>
      <c r="M124" s="5" t="s">
        <v>151</v>
      </c>
      <c r="N124" s="9" t="str">
        <f>IFERROR(VLOOKUP(I124,Customers!$B$2:$L$81,11,FALSE),"")</f>
        <v>EMP008</v>
      </c>
      <c r="O124" s="15">
        <f>SUMIF(OderItems!$A$2:$A$510,A124,OderItems!$L$2:$L$510)</f>
        <v>465000</v>
      </c>
      <c r="P124" s="15">
        <f>SUMIF(OderItems!$A$2:$A$510,A124,OderItems!$G$2:$G$510)</f>
        <v>9000</v>
      </c>
      <c r="Q124" s="15">
        <f>SUMIF(OderItems!$A$2:$A$510,A124,OderItems!$K$2:$K$510)</f>
        <v>0</v>
      </c>
      <c r="R124" s="15">
        <f t="shared" si="1"/>
        <v>474000</v>
      </c>
      <c r="S124" s="16" t="s">
        <v>79</v>
      </c>
      <c r="T124" s="9" t="b">
        <f t="shared" si="2"/>
        <v>1</v>
      </c>
      <c r="U124" s="13"/>
      <c r="V124" s="13"/>
      <c r="W124" s="13"/>
      <c r="X124" s="13"/>
      <c r="Y124" s="13"/>
      <c r="Z124" s="13"/>
    </row>
    <row r="125" ht="18.0" customHeight="1">
      <c r="A125" s="5" t="s">
        <v>923</v>
      </c>
      <c r="B125" s="5" t="s">
        <v>188</v>
      </c>
      <c r="C125" s="5" t="s">
        <v>88</v>
      </c>
      <c r="D125" s="12">
        <v>45347.565104166664</v>
      </c>
      <c r="E125" s="12">
        <v>45347.6484375</v>
      </c>
      <c r="F125" s="12">
        <v>45349.565104166664</v>
      </c>
      <c r="G125" s="12">
        <v>45353.565104166664</v>
      </c>
      <c r="H125" s="12">
        <v>45355.565104166664</v>
      </c>
      <c r="I125" s="5" t="s">
        <v>190</v>
      </c>
      <c r="J125" s="5" t="s">
        <v>471</v>
      </c>
      <c r="K125" s="5" t="s">
        <v>102</v>
      </c>
      <c r="L125" s="5" t="s">
        <v>46</v>
      </c>
      <c r="M125" s="5" t="s">
        <v>192</v>
      </c>
      <c r="N125" s="9" t="str">
        <f>IFERROR(VLOOKUP(I125,Customers!$B$2:$L$81,11,FALSE),"")</f>
        <v>EMP006</v>
      </c>
      <c r="O125" s="15">
        <f>SUMIF(OderItems!$A$2:$A$510,A125,OderItems!$L$2:$L$510)</f>
        <v>3777000</v>
      </c>
      <c r="P125" s="15">
        <f>SUMIF(OderItems!$A$2:$A$510,A125,OderItems!$G$2:$G$510)</f>
        <v>62000</v>
      </c>
      <c r="Q125" s="15">
        <f>SUMIF(OderItems!$A$2:$A$510,A125,OderItems!$K$2:$K$510)</f>
        <v>0</v>
      </c>
      <c r="R125" s="15">
        <f t="shared" si="1"/>
        <v>3839000</v>
      </c>
      <c r="S125" s="16" t="s">
        <v>79</v>
      </c>
      <c r="T125" s="9" t="b">
        <f t="shared" si="2"/>
        <v>1</v>
      </c>
      <c r="U125" s="13"/>
      <c r="V125" s="13"/>
      <c r="W125" s="13"/>
      <c r="X125" s="13"/>
      <c r="Y125" s="13"/>
      <c r="Z125" s="13"/>
    </row>
    <row r="126" ht="18.0" customHeight="1">
      <c r="A126" s="5" t="s">
        <v>925</v>
      </c>
      <c r="B126" s="5" t="s">
        <v>120</v>
      </c>
      <c r="C126" s="5" t="s">
        <v>88</v>
      </c>
      <c r="D126" s="12">
        <v>46121.1718287037</v>
      </c>
      <c r="E126" s="12">
        <v>46121.255162037036</v>
      </c>
      <c r="F126" s="12">
        <v>46123.1718287037</v>
      </c>
      <c r="G126" s="12">
        <v>46127.1718287037</v>
      </c>
      <c r="H126" s="12">
        <v>46129.1718287037</v>
      </c>
      <c r="I126" s="5" t="s">
        <v>121</v>
      </c>
      <c r="J126" s="5" t="s">
        <v>342</v>
      </c>
      <c r="K126" s="5" t="s">
        <v>102</v>
      </c>
      <c r="L126" s="5" t="s">
        <v>74</v>
      </c>
      <c r="M126" s="5" t="s">
        <v>123</v>
      </c>
      <c r="N126" s="9" t="str">
        <f>IFERROR(VLOOKUP(I126,Customers!$B$2:$L$81,11,FALSE),"")</f>
        <v>EMP007</v>
      </c>
      <c r="O126" s="15">
        <f>SUMIF(OderItems!$A$2:$A$510,A126,OderItems!$L$2:$L$510)</f>
        <v>1428000</v>
      </c>
      <c r="P126" s="15">
        <f>SUMIF(OderItems!$A$2:$A$510,A126,OderItems!$G$2:$G$510)</f>
        <v>15000</v>
      </c>
      <c r="Q126" s="15">
        <f>SUMIF(OderItems!$A$2:$A$510,A126,OderItems!$K$2:$K$510)</f>
        <v>0</v>
      </c>
      <c r="R126" s="15">
        <f t="shared" si="1"/>
        <v>1443000</v>
      </c>
      <c r="S126" s="16" t="s">
        <v>79</v>
      </c>
      <c r="T126" s="9" t="b">
        <f t="shared" si="2"/>
        <v>1</v>
      </c>
      <c r="U126" s="13"/>
      <c r="V126" s="13"/>
      <c r="W126" s="13"/>
      <c r="X126" s="13"/>
      <c r="Y126" s="13"/>
      <c r="Z126" s="13"/>
    </row>
    <row r="127" ht="18.0" customHeight="1">
      <c r="A127" s="5" t="s">
        <v>927</v>
      </c>
      <c r="B127" s="5" t="s">
        <v>484</v>
      </c>
      <c r="C127" s="5" t="s">
        <v>88</v>
      </c>
      <c r="D127" s="12">
        <v>45636.72803240741</v>
      </c>
      <c r="E127" s="12">
        <v>45636.81136574074</v>
      </c>
      <c r="F127" s="12">
        <v>45638.72803240741</v>
      </c>
      <c r="G127" s="12">
        <v>45642.72803240741</v>
      </c>
      <c r="H127" s="12">
        <v>45644.72803240741</v>
      </c>
      <c r="I127" s="5" t="s">
        <v>485</v>
      </c>
      <c r="J127" s="5" t="s">
        <v>471</v>
      </c>
      <c r="K127" s="5" t="s">
        <v>406</v>
      </c>
      <c r="L127" s="5" t="s">
        <v>46</v>
      </c>
      <c r="M127" s="5" t="s">
        <v>39</v>
      </c>
      <c r="N127" s="9" t="str">
        <f>IFERROR(VLOOKUP(I127,Customers!$B$2:$L$81,11,FALSE),"")</f>
        <v>EMP008</v>
      </c>
      <c r="O127" s="15">
        <f>SUMIF(OderItems!$A$2:$A$510,A127,OderItems!$L$2:$L$510)</f>
        <v>1230000</v>
      </c>
      <c r="P127" s="15">
        <f>SUMIF(OderItems!$A$2:$A$510,A127,OderItems!$G$2:$G$510)</f>
        <v>35000</v>
      </c>
      <c r="Q127" s="15">
        <f>SUMIF(OderItems!$A$2:$A$510,A127,OderItems!$K$2:$K$510)</f>
        <v>0</v>
      </c>
      <c r="R127" s="15">
        <f t="shared" si="1"/>
        <v>1265000</v>
      </c>
      <c r="S127" s="16" t="s">
        <v>79</v>
      </c>
      <c r="T127" s="9" t="b">
        <f t="shared" si="2"/>
        <v>1</v>
      </c>
      <c r="U127" s="13"/>
      <c r="V127" s="13"/>
      <c r="W127" s="13"/>
      <c r="X127" s="13"/>
      <c r="Y127" s="13"/>
      <c r="Z127" s="13"/>
    </row>
    <row r="128" ht="18.0" customHeight="1">
      <c r="A128" s="5" t="s">
        <v>928</v>
      </c>
      <c r="B128" s="5" t="s">
        <v>428</v>
      </c>
      <c r="C128" s="5" t="s">
        <v>88</v>
      </c>
      <c r="D128" s="12">
        <v>45705.58521990741</v>
      </c>
      <c r="E128" s="12">
        <v>45705.66855324074</v>
      </c>
      <c r="F128" s="12">
        <v>45707.58521990741</v>
      </c>
      <c r="G128" s="12">
        <v>45711.58521990741</v>
      </c>
      <c r="H128" s="12">
        <v>45713.58521990741</v>
      </c>
      <c r="I128" s="5" t="s">
        <v>429</v>
      </c>
      <c r="J128" s="5" t="s">
        <v>404</v>
      </c>
      <c r="K128" s="5" t="s">
        <v>102</v>
      </c>
      <c r="L128" s="5" t="s">
        <v>154</v>
      </c>
      <c r="M128" s="5" t="s">
        <v>260</v>
      </c>
      <c r="N128" s="9" t="str">
        <f>IFERROR(VLOOKUP(I128,Customers!$B$2:$L$81,11,FALSE),"")</f>
        <v>EMP001</v>
      </c>
      <c r="O128" s="15">
        <f>SUMIF(OderItems!$A$2:$A$510,A128,OderItems!$L$2:$L$510)</f>
        <v>1149000</v>
      </c>
      <c r="P128" s="15">
        <f>SUMIF(OderItems!$A$2:$A$510,A128,OderItems!$G$2:$G$510)</f>
        <v>15000</v>
      </c>
      <c r="Q128" s="15">
        <f>SUMIF(OderItems!$A$2:$A$510,A128,OderItems!$K$2:$K$510)</f>
        <v>0</v>
      </c>
      <c r="R128" s="15">
        <f t="shared" si="1"/>
        <v>1164000</v>
      </c>
      <c r="S128" s="16" t="s">
        <v>79</v>
      </c>
      <c r="T128" s="9" t="b">
        <f t="shared" si="2"/>
        <v>1</v>
      </c>
      <c r="U128" s="13"/>
      <c r="V128" s="13"/>
      <c r="W128" s="13"/>
      <c r="X128" s="13"/>
      <c r="Y128" s="13"/>
      <c r="Z128" s="13"/>
    </row>
    <row r="129" ht="18.0" customHeight="1">
      <c r="A129" s="5" t="s">
        <v>930</v>
      </c>
      <c r="B129" s="5" t="s">
        <v>457</v>
      </c>
      <c r="C129" s="5" t="s">
        <v>88</v>
      </c>
      <c r="D129" s="12">
        <v>45546.5046875</v>
      </c>
      <c r="E129" s="12">
        <v>45546.58802083333</v>
      </c>
      <c r="F129" s="12">
        <v>45548.5046875</v>
      </c>
      <c r="G129" s="12">
        <v>45552.5046875</v>
      </c>
      <c r="H129" s="12">
        <v>45554.5046875</v>
      </c>
      <c r="I129" s="5" t="s">
        <v>459</v>
      </c>
      <c r="J129" s="5" t="s">
        <v>342</v>
      </c>
      <c r="K129" s="5" t="s">
        <v>258</v>
      </c>
      <c r="L129" s="5" t="s">
        <v>74</v>
      </c>
      <c r="M129" s="5" t="s">
        <v>96</v>
      </c>
      <c r="N129" s="9" t="str">
        <f>IFERROR(VLOOKUP(I129,Customers!$B$2:$L$81,11,FALSE),"")</f>
        <v>EMP005</v>
      </c>
      <c r="O129" s="15">
        <f>SUMIF(OderItems!$A$2:$A$510,A129,OderItems!$L$2:$L$510)</f>
        <v>674000</v>
      </c>
      <c r="P129" s="15">
        <f>SUMIF(OderItems!$A$2:$A$510,A129,OderItems!$G$2:$G$510)</f>
        <v>23000</v>
      </c>
      <c r="Q129" s="15">
        <f>SUMIF(OderItems!$A$2:$A$510,A129,OderItems!$K$2:$K$510)</f>
        <v>0</v>
      </c>
      <c r="R129" s="15">
        <f t="shared" si="1"/>
        <v>697000</v>
      </c>
      <c r="S129" s="16" t="s">
        <v>79</v>
      </c>
      <c r="T129" s="9" t="b">
        <f t="shared" si="2"/>
        <v>1</v>
      </c>
      <c r="U129" s="13"/>
      <c r="V129" s="13"/>
      <c r="W129" s="13"/>
      <c r="X129" s="13"/>
      <c r="Y129" s="13"/>
      <c r="Z129" s="13"/>
    </row>
    <row r="130" ht="18.0" customHeight="1">
      <c r="A130" s="5" t="s">
        <v>931</v>
      </c>
      <c r="B130" s="5" t="s">
        <v>247</v>
      </c>
      <c r="C130" s="5" t="s">
        <v>692</v>
      </c>
      <c r="D130" s="12">
        <v>46182.134421296294</v>
      </c>
      <c r="E130" s="18"/>
      <c r="F130" s="18"/>
      <c r="G130" s="18"/>
      <c r="H130" s="12">
        <v>46190.134421296294</v>
      </c>
      <c r="I130" s="5" t="s">
        <v>254</v>
      </c>
      <c r="J130" s="5" t="s">
        <v>100</v>
      </c>
      <c r="K130" s="5" t="s">
        <v>344</v>
      </c>
      <c r="L130" s="5" t="s">
        <v>154</v>
      </c>
      <c r="M130" s="5" t="s">
        <v>260</v>
      </c>
      <c r="N130" s="9" t="str">
        <f>IFERROR(VLOOKUP(I130,Customers!$B$2:$L$81,11,FALSE),"")</f>
        <v>EMP008</v>
      </c>
      <c r="O130" s="15">
        <f>SUMIF(OderItems!$A$2:$A$510,A130,OderItems!$L$2:$L$510)</f>
        <v>3161000</v>
      </c>
      <c r="P130" s="15">
        <f>SUMIF(OderItems!$A$2:$A$510,A130,OderItems!$G$2:$G$510)</f>
        <v>45000</v>
      </c>
      <c r="Q130" s="15">
        <f>SUMIF(OderItems!$A$2:$A$510,A130,OderItems!$K$2:$K$510)</f>
        <v>0</v>
      </c>
      <c r="R130" s="15">
        <f t="shared" si="1"/>
        <v>3206000</v>
      </c>
      <c r="S130" s="16" t="s">
        <v>79</v>
      </c>
      <c r="T130" s="9" t="b">
        <f t="shared" si="2"/>
        <v>0</v>
      </c>
      <c r="U130" s="13"/>
      <c r="V130" s="13"/>
      <c r="W130" s="13"/>
      <c r="X130" s="13"/>
      <c r="Y130" s="13"/>
      <c r="Z130" s="13"/>
    </row>
    <row r="131" ht="18.0" customHeight="1">
      <c r="A131" s="5" t="s">
        <v>933</v>
      </c>
      <c r="B131" s="5" t="s">
        <v>435</v>
      </c>
      <c r="C131" s="5" t="s">
        <v>88</v>
      </c>
      <c r="D131" s="12">
        <v>45924.53114583333</v>
      </c>
      <c r="E131" s="12">
        <v>45924.61447916667</v>
      </c>
      <c r="F131" s="12">
        <v>45926.53114583333</v>
      </c>
      <c r="G131" s="12">
        <v>45930.53114583333</v>
      </c>
      <c r="H131" s="12">
        <v>45932.53114583333</v>
      </c>
      <c r="I131" s="5" t="s">
        <v>436</v>
      </c>
      <c r="J131" s="5" t="s">
        <v>471</v>
      </c>
      <c r="K131" s="5" t="s">
        <v>344</v>
      </c>
      <c r="L131" s="5" t="s">
        <v>154</v>
      </c>
      <c r="M131" s="5" t="s">
        <v>260</v>
      </c>
      <c r="N131" s="9" t="str">
        <f>IFERROR(VLOOKUP(I131,Customers!$B$2:$L$81,11,FALSE),"")</f>
        <v>EMP002</v>
      </c>
      <c r="O131" s="15">
        <f>SUMIF(OderItems!$A$2:$A$510,A131,OderItems!$L$2:$L$510)</f>
        <v>2012000</v>
      </c>
      <c r="P131" s="15">
        <f>SUMIF(OderItems!$A$2:$A$510,A131,OderItems!$G$2:$G$510)</f>
        <v>29000</v>
      </c>
      <c r="Q131" s="15">
        <f>SUMIF(OderItems!$A$2:$A$510,A131,OderItems!$K$2:$K$510)</f>
        <v>0</v>
      </c>
      <c r="R131" s="15">
        <f t="shared" si="1"/>
        <v>2041000</v>
      </c>
      <c r="S131" s="16" t="s">
        <v>79</v>
      </c>
      <c r="T131" s="9" t="b">
        <f t="shared" si="2"/>
        <v>1</v>
      </c>
      <c r="U131" s="13"/>
      <c r="V131" s="13"/>
      <c r="W131" s="13"/>
      <c r="X131" s="13"/>
      <c r="Y131" s="13"/>
      <c r="Z131" s="13"/>
    </row>
    <row r="132" ht="18.0" customHeight="1">
      <c r="A132" s="5" t="s">
        <v>935</v>
      </c>
      <c r="B132" s="5" t="s">
        <v>357</v>
      </c>
      <c r="C132" s="5" t="s">
        <v>88</v>
      </c>
      <c r="D132" s="12">
        <v>46164.3908912037</v>
      </c>
      <c r="E132" s="12">
        <v>46164.474224537036</v>
      </c>
      <c r="F132" s="12">
        <v>46166.3908912037</v>
      </c>
      <c r="G132" s="12">
        <v>46170.3908912037</v>
      </c>
      <c r="H132" s="12">
        <v>46172.3908912037</v>
      </c>
      <c r="I132" s="5" t="s">
        <v>358</v>
      </c>
      <c r="J132" s="5" t="s">
        <v>100</v>
      </c>
      <c r="K132" s="5" t="s">
        <v>344</v>
      </c>
      <c r="L132" s="5" t="s">
        <v>154</v>
      </c>
      <c r="M132" s="5" t="s">
        <v>151</v>
      </c>
      <c r="N132" s="9" t="str">
        <f>IFERROR(VLOOKUP(I132,Customers!$B$2:$L$81,11,FALSE),"")</f>
        <v>EMP008</v>
      </c>
      <c r="O132" s="15">
        <f>SUMIF(OderItems!$A$2:$A$510,A132,OderItems!$L$2:$L$510)</f>
        <v>2815000</v>
      </c>
      <c r="P132" s="15">
        <f>SUMIF(OderItems!$A$2:$A$510,A132,OderItems!$G$2:$G$510)</f>
        <v>42000</v>
      </c>
      <c r="Q132" s="15">
        <f>SUMIF(OderItems!$A$2:$A$510,A132,OderItems!$K$2:$K$510)</f>
        <v>0</v>
      </c>
      <c r="R132" s="15">
        <f t="shared" si="1"/>
        <v>2857000</v>
      </c>
      <c r="S132" s="16" t="s">
        <v>79</v>
      </c>
      <c r="T132" s="9" t="b">
        <f t="shared" si="2"/>
        <v>1</v>
      </c>
      <c r="U132" s="13"/>
      <c r="V132" s="13"/>
      <c r="W132" s="13"/>
      <c r="X132" s="13"/>
      <c r="Y132" s="13"/>
      <c r="Z132" s="13"/>
    </row>
    <row r="133" ht="18.0" customHeight="1">
      <c r="A133" s="5" t="s">
        <v>936</v>
      </c>
      <c r="B133" s="5" t="s">
        <v>255</v>
      </c>
      <c r="C133" s="5" t="s">
        <v>759</v>
      </c>
      <c r="D133" s="12">
        <v>45884.04908564815</v>
      </c>
      <c r="E133" s="12">
        <v>45884.132418981484</v>
      </c>
      <c r="F133" s="12">
        <v>45886.04908564815</v>
      </c>
      <c r="G133" s="12">
        <v>45890.04908564815</v>
      </c>
      <c r="H133" s="12">
        <v>45892.04908564815</v>
      </c>
      <c r="I133" s="5" t="s">
        <v>256</v>
      </c>
      <c r="J133" s="5" t="s">
        <v>342</v>
      </c>
      <c r="K133" s="5" t="s">
        <v>406</v>
      </c>
      <c r="L133" s="5" t="s">
        <v>154</v>
      </c>
      <c r="M133" s="5" t="s">
        <v>215</v>
      </c>
      <c r="N133" s="9" t="str">
        <f>IFERROR(VLOOKUP(I133,Customers!$B$2:$L$81,11,FALSE),"")</f>
        <v>EMP005</v>
      </c>
      <c r="O133" s="15">
        <f>SUMIF(OderItems!$A$2:$A$510,A133,OderItems!$L$2:$L$510)</f>
        <v>3600000</v>
      </c>
      <c r="P133" s="15">
        <f>SUMIF(OderItems!$A$2:$A$510,A133,OderItems!$G$2:$G$510)</f>
        <v>50000</v>
      </c>
      <c r="Q133" s="15">
        <f>SUMIF(OderItems!$A$2:$A$510,A133,OderItems!$K$2:$K$510)</f>
        <v>0</v>
      </c>
      <c r="R133" s="15">
        <f t="shared" si="1"/>
        <v>3650000</v>
      </c>
      <c r="S133" s="16" t="s">
        <v>79</v>
      </c>
      <c r="T133" s="9" t="b">
        <f t="shared" si="2"/>
        <v>0</v>
      </c>
      <c r="U133" s="13"/>
      <c r="V133" s="13"/>
      <c r="W133" s="13"/>
      <c r="X133" s="13"/>
      <c r="Y133" s="13"/>
      <c r="Z133" s="13"/>
    </row>
    <row r="134" ht="18.0" customHeight="1">
      <c r="A134" s="5" t="s">
        <v>938</v>
      </c>
      <c r="B134" s="5" t="s">
        <v>200</v>
      </c>
      <c r="C134" s="5" t="s">
        <v>88</v>
      </c>
      <c r="D134" s="12">
        <v>45342.295810185184</v>
      </c>
      <c r="E134" s="12">
        <v>45342.37914351852</v>
      </c>
      <c r="F134" s="12">
        <v>45344.295810185184</v>
      </c>
      <c r="G134" s="12">
        <v>45348.295810185184</v>
      </c>
      <c r="H134" s="12">
        <v>45350.295810185184</v>
      </c>
      <c r="I134" s="5" t="s">
        <v>201</v>
      </c>
      <c r="J134" s="5" t="s">
        <v>471</v>
      </c>
      <c r="K134" s="5" t="s">
        <v>406</v>
      </c>
      <c r="L134" s="5" t="s">
        <v>154</v>
      </c>
      <c r="M134" s="5" t="s">
        <v>202</v>
      </c>
      <c r="N134" s="9" t="str">
        <f>IFERROR(VLOOKUP(I134,Customers!$B$2:$L$81,11,FALSE),"")</f>
        <v>EMP007</v>
      </c>
      <c r="O134" s="15">
        <f>SUMIF(OderItems!$A$2:$A$510,A134,OderItems!$L$2:$L$510)</f>
        <v>2074000</v>
      </c>
      <c r="P134" s="15">
        <f>SUMIF(OderItems!$A$2:$A$510,A134,OderItems!$G$2:$G$510)</f>
        <v>48000</v>
      </c>
      <c r="Q134" s="15">
        <f>SUMIF(OderItems!$A$2:$A$510,A134,OderItems!$K$2:$K$510)</f>
        <v>0</v>
      </c>
      <c r="R134" s="15">
        <f t="shared" si="1"/>
        <v>2122000</v>
      </c>
      <c r="S134" s="16" t="s">
        <v>79</v>
      </c>
      <c r="T134" s="9" t="b">
        <f t="shared" si="2"/>
        <v>1</v>
      </c>
      <c r="U134" s="13"/>
      <c r="V134" s="13"/>
      <c r="W134" s="13"/>
      <c r="X134" s="13"/>
      <c r="Y134" s="13"/>
      <c r="Z134" s="13"/>
    </row>
    <row r="135" ht="18.0" customHeight="1">
      <c r="A135" s="5" t="s">
        <v>940</v>
      </c>
      <c r="B135" s="5" t="s">
        <v>421</v>
      </c>
      <c r="C135" s="5" t="s">
        <v>88</v>
      </c>
      <c r="D135" s="12">
        <v>45921.057291666664</v>
      </c>
      <c r="E135" s="12">
        <v>45921.140625</v>
      </c>
      <c r="F135" s="12">
        <v>45923.057291666664</v>
      </c>
      <c r="G135" s="12">
        <v>45927.057291666664</v>
      </c>
      <c r="H135" s="12">
        <v>45929.057291666664</v>
      </c>
      <c r="I135" s="5" t="s">
        <v>422</v>
      </c>
      <c r="J135" s="5" t="s">
        <v>471</v>
      </c>
      <c r="K135" s="5" t="s">
        <v>102</v>
      </c>
      <c r="L135" s="5" t="s">
        <v>46</v>
      </c>
      <c r="M135" s="5" t="s">
        <v>39</v>
      </c>
      <c r="N135" s="9" t="str">
        <f>IFERROR(VLOOKUP(I135,Customers!$B$2:$L$81,11,FALSE),"")</f>
        <v>EMP008</v>
      </c>
      <c r="O135" s="15">
        <f>SUMIF(OderItems!$A$2:$A$510,A135,OderItems!$L$2:$L$510)</f>
        <v>252000</v>
      </c>
      <c r="P135" s="15">
        <f>SUMIF(OderItems!$A$2:$A$510,A135,OderItems!$G$2:$G$510)</f>
        <v>14000</v>
      </c>
      <c r="Q135" s="15">
        <f>SUMIF(OderItems!$A$2:$A$510,A135,OderItems!$K$2:$K$510)</f>
        <v>0</v>
      </c>
      <c r="R135" s="15">
        <f t="shared" si="1"/>
        <v>266000</v>
      </c>
      <c r="S135" s="16" t="s">
        <v>79</v>
      </c>
      <c r="T135" s="9" t="b">
        <f t="shared" si="2"/>
        <v>1</v>
      </c>
      <c r="U135" s="13"/>
      <c r="V135" s="13"/>
      <c r="W135" s="13"/>
      <c r="X135" s="13"/>
      <c r="Y135" s="13"/>
      <c r="Z135" s="13"/>
    </row>
    <row r="136" ht="18.0" customHeight="1">
      <c r="A136" s="5" t="s">
        <v>941</v>
      </c>
      <c r="B136" s="5" t="s">
        <v>606</v>
      </c>
      <c r="C136" s="5" t="s">
        <v>692</v>
      </c>
      <c r="D136" s="12">
        <v>46218.17259259259</v>
      </c>
      <c r="E136" s="18"/>
      <c r="F136" s="18"/>
      <c r="G136" s="18"/>
      <c r="H136" s="12">
        <v>46226.17259259259</v>
      </c>
      <c r="I136" s="5" t="s">
        <v>607</v>
      </c>
      <c r="J136" s="5" t="s">
        <v>342</v>
      </c>
      <c r="K136" s="5" t="s">
        <v>258</v>
      </c>
      <c r="L136" s="5" t="s">
        <v>46</v>
      </c>
      <c r="M136" s="5" t="s">
        <v>39</v>
      </c>
      <c r="N136" s="9" t="str">
        <f>IFERROR(VLOOKUP(I136,Customers!$B$2:$L$81,11,FALSE),"")</f>
        <v>EMP003</v>
      </c>
      <c r="O136" s="15">
        <f>SUMIF(OderItems!$A$2:$A$510,A136,OderItems!$L$2:$L$510)</f>
        <v>2393000</v>
      </c>
      <c r="P136" s="15">
        <f>SUMIF(OderItems!$A$2:$A$510,A136,OderItems!$G$2:$G$510)</f>
        <v>45000</v>
      </c>
      <c r="Q136" s="15">
        <f>SUMIF(OderItems!$A$2:$A$510,A136,OderItems!$K$2:$K$510)</f>
        <v>0</v>
      </c>
      <c r="R136" s="15">
        <f t="shared" si="1"/>
        <v>2438000</v>
      </c>
      <c r="S136" s="16" t="s">
        <v>79</v>
      </c>
      <c r="T136" s="9" t="b">
        <f t="shared" si="2"/>
        <v>0</v>
      </c>
      <c r="U136" s="13"/>
      <c r="V136" s="13"/>
      <c r="W136" s="13"/>
      <c r="X136" s="13"/>
      <c r="Y136" s="13"/>
      <c r="Z136" s="13"/>
    </row>
    <row r="137" ht="18.0" customHeight="1">
      <c r="A137" s="5" t="s">
        <v>943</v>
      </c>
      <c r="B137" s="5" t="s">
        <v>357</v>
      </c>
      <c r="C137" s="5" t="s">
        <v>88</v>
      </c>
      <c r="D137" s="12">
        <v>46145.683969907404</v>
      </c>
      <c r="E137" s="12">
        <v>46145.76730324074</v>
      </c>
      <c r="F137" s="12">
        <v>46147.683969907404</v>
      </c>
      <c r="G137" s="12">
        <v>46151.683969907404</v>
      </c>
      <c r="H137" s="12">
        <v>46153.683969907404</v>
      </c>
      <c r="I137" s="5" t="s">
        <v>358</v>
      </c>
      <c r="J137" s="5" t="s">
        <v>342</v>
      </c>
      <c r="K137" s="5" t="s">
        <v>344</v>
      </c>
      <c r="L137" s="5" t="s">
        <v>154</v>
      </c>
      <c r="M137" s="5" t="s">
        <v>151</v>
      </c>
      <c r="N137" s="9" t="str">
        <f>IFERROR(VLOOKUP(I137,Customers!$B$2:$L$81,11,FALSE),"")</f>
        <v>EMP008</v>
      </c>
      <c r="O137" s="15">
        <f>SUMIF(OderItems!$A$2:$A$510,A137,OderItems!$L$2:$L$510)</f>
        <v>770000</v>
      </c>
      <c r="P137" s="15">
        <f>SUMIF(OderItems!$A$2:$A$510,A137,OderItems!$G$2:$G$510)</f>
        <v>12000</v>
      </c>
      <c r="Q137" s="15">
        <f>SUMIF(OderItems!$A$2:$A$510,A137,OderItems!$K$2:$K$510)</f>
        <v>0</v>
      </c>
      <c r="R137" s="15">
        <f t="shared" si="1"/>
        <v>782000</v>
      </c>
      <c r="S137" s="16" t="s">
        <v>79</v>
      </c>
      <c r="T137" s="9" t="b">
        <f t="shared" si="2"/>
        <v>1</v>
      </c>
      <c r="U137" s="13"/>
      <c r="V137" s="13"/>
      <c r="W137" s="13"/>
      <c r="X137" s="13"/>
      <c r="Y137" s="13"/>
      <c r="Z137" s="13"/>
    </row>
    <row r="138" ht="18.0" customHeight="1">
      <c r="A138" s="5" t="s">
        <v>944</v>
      </c>
      <c r="B138" s="5" t="s">
        <v>314</v>
      </c>
      <c r="C138" s="5" t="s">
        <v>88</v>
      </c>
      <c r="D138" s="12">
        <v>45806.82770833333</v>
      </c>
      <c r="E138" s="12">
        <v>45806.911041666666</v>
      </c>
      <c r="F138" s="12">
        <v>45808.82770833333</v>
      </c>
      <c r="G138" s="12">
        <v>45812.82770833333</v>
      </c>
      <c r="H138" s="12">
        <v>45814.82770833333</v>
      </c>
      <c r="I138" s="5" t="s">
        <v>315</v>
      </c>
      <c r="J138" s="5" t="s">
        <v>342</v>
      </c>
      <c r="K138" s="5" t="s">
        <v>258</v>
      </c>
      <c r="L138" s="5" t="s">
        <v>154</v>
      </c>
      <c r="M138" s="5" t="s">
        <v>268</v>
      </c>
      <c r="N138" s="9" t="str">
        <f>IFERROR(VLOOKUP(I138,Customers!$B$2:$L$81,11,FALSE),"")</f>
        <v>EMP003</v>
      </c>
      <c r="O138" s="15">
        <f>SUMIF(OderItems!$A$2:$A$510,A138,OderItems!$L$2:$L$510)</f>
        <v>2600000</v>
      </c>
      <c r="P138" s="15">
        <f>SUMIF(OderItems!$A$2:$A$510,A138,OderItems!$G$2:$G$510)</f>
        <v>39000</v>
      </c>
      <c r="Q138" s="15">
        <f>SUMIF(OderItems!$A$2:$A$510,A138,OderItems!$K$2:$K$510)</f>
        <v>0</v>
      </c>
      <c r="R138" s="15">
        <f t="shared" si="1"/>
        <v>2639000</v>
      </c>
      <c r="S138" s="16" t="s">
        <v>79</v>
      </c>
      <c r="T138" s="9" t="b">
        <f t="shared" si="2"/>
        <v>1</v>
      </c>
      <c r="U138" s="13"/>
      <c r="V138" s="13"/>
      <c r="W138" s="13"/>
      <c r="X138" s="13"/>
      <c r="Y138" s="13"/>
      <c r="Z138" s="13"/>
    </row>
    <row r="139" ht="18.0" customHeight="1">
      <c r="A139" s="5" t="s">
        <v>945</v>
      </c>
      <c r="B139" s="5" t="s">
        <v>212</v>
      </c>
      <c r="C139" s="5" t="s">
        <v>751</v>
      </c>
      <c r="D139" s="12">
        <v>46067.08729166666</v>
      </c>
      <c r="E139" s="12">
        <v>46067.170625</v>
      </c>
      <c r="F139" s="18"/>
      <c r="G139" s="18"/>
      <c r="H139" s="12">
        <v>46075.08729166666</v>
      </c>
      <c r="I139" s="5" t="s">
        <v>213</v>
      </c>
      <c r="J139" s="5" t="s">
        <v>100</v>
      </c>
      <c r="K139" s="5" t="s">
        <v>344</v>
      </c>
      <c r="L139" s="5" t="s">
        <v>154</v>
      </c>
      <c r="M139" s="5" t="s">
        <v>215</v>
      </c>
      <c r="N139" s="9" t="str">
        <f>IFERROR(VLOOKUP(I139,Customers!$B$2:$L$81,11,FALSE),"")</f>
        <v>EMP008</v>
      </c>
      <c r="O139" s="15">
        <f>SUMIF(OderItems!$A$2:$A$510,A139,OderItems!$L$2:$L$510)</f>
        <v>840000</v>
      </c>
      <c r="P139" s="15">
        <f>SUMIF(OderItems!$A$2:$A$510,A139,OderItems!$G$2:$G$510)</f>
        <v>8000</v>
      </c>
      <c r="Q139" s="15">
        <f>SUMIF(OderItems!$A$2:$A$510,A139,OderItems!$K$2:$K$510)</f>
        <v>0</v>
      </c>
      <c r="R139" s="15">
        <f t="shared" si="1"/>
        <v>848000</v>
      </c>
      <c r="S139" s="16" t="s">
        <v>79</v>
      </c>
      <c r="T139" s="9" t="b">
        <f t="shared" si="2"/>
        <v>0</v>
      </c>
      <c r="U139" s="13"/>
      <c r="V139" s="13"/>
      <c r="W139" s="13"/>
      <c r="X139" s="13"/>
      <c r="Y139" s="13"/>
      <c r="Z139" s="13"/>
    </row>
    <row r="140" ht="18.0" customHeight="1">
      <c r="A140" s="5" t="s">
        <v>947</v>
      </c>
      <c r="B140" s="5" t="s">
        <v>386</v>
      </c>
      <c r="C140" s="5" t="s">
        <v>88</v>
      </c>
      <c r="D140" s="12">
        <v>45496.06524305556</v>
      </c>
      <c r="E140" s="12">
        <v>45496.14857638889</v>
      </c>
      <c r="F140" s="12">
        <v>45498.06524305556</v>
      </c>
      <c r="G140" s="12">
        <v>45502.06524305556</v>
      </c>
      <c r="H140" s="12">
        <v>45504.06524305556</v>
      </c>
      <c r="I140" s="5" t="s">
        <v>387</v>
      </c>
      <c r="J140" s="5" t="s">
        <v>342</v>
      </c>
      <c r="K140" s="5" t="s">
        <v>258</v>
      </c>
      <c r="L140" s="5" t="s">
        <v>46</v>
      </c>
      <c r="M140" s="5" t="s">
        <v>84</v>
      </c>
      <c r="N140" s="9" t="str">
        <f>IFERROR(VLOOKUP(I140,Customers!$B$2:$L$81,11,FALSE),"")</f>
        <v>EMP004</v>
      </c>
      <c r="O140" s="15">
        <f>SUMIF(OderItems!$A$2:$A$510,A140,OderItems!$L$2:$L$510)</f>
        <v>405000</v>
      </c>
      <c r="P140" s="15">
        <f>SUMIF(OderItems!$A$2:$A$510,A140,OderItems!$G$2:$G$510)</f>
        <v>7000</v>
      </c>
      <c r="Q140" s="15">
        <f>SUMIF(OderItems!$A$2:$A$510,A140,OderItems!$K$2:$K$510)</f>
        <v>0</v>
      </c>
      <c r="R140" s="15">
        <f t="shared" si="1"/>
        <v>412000</v>
      </c>
      <c r="S140" s="16" t="s">
        <v>79</v>
      </c>
      <c r="T140" s="9" t="b">
        <f t="shared" si="2"/>
        <v>1</v>
      </c>
      <c r="U140" s="13"/>
      <c r="V140" s="13"/>
      <c r="W140" s="13"/>
      <c r="X140" s="13"/>
      <c r="Y140" s="13"/>
      <c r="Z140" s="13"/>
    </row>
    <row r="141" ht="18.0" customHeight="1">
      <c r="A141" s="5" t="s">
        <v>949</v>
      </c>
      <c r="B141" s="5" t="s">
        <v>188</v>
      </c>
      <c r="C141" s="5" t="s">
        <v>88</v>
      </c>
      <c r="D141" s="12">
        <v>45595.41079861111</v>
      </c>
      <c r="E141" s="12">
        <v>45595.49413194445</v>
      </c>
      <c r="F141" s="12">
        <v>45597.41079861111</v>
      </c>
      <c r="G141" s="12">
        <v>45601.41079861111</v>
      </c>
      <c r="H141" s="12">
        <v>45603.41079861111</v>
      </c>
      <c r="I141" s="5" t="s">
        <v>190</v>
      </c>
      <c r="J141" s="5" t="s">
        <v>100</v>
      </c>
      <c r="K141" s="5" t="s">
        <v>406</v>
      </c>
      <c r="L141" s="5" t="s">
        <v>46</v>
      </c>
      <c r="M141" s="5" t="s">
        <v>192</v>
      </c>
      <c r="N141" s="9" t="str">
        <f>IFERROR(VLOOKUP(I141,Customers!$B$2:$L$81,11,FALSE),"")</f>
        <v>EMP006</v>
      </c>
      <c r="O141" s="15">
        <f>SUMIF(OderItems!$A$2:$A$510,A141,OderItems!$L$2:$L$510)</f>
        <v>1064000</v>
      </c>
      <c r="P141" s="15">
        <f>SUMIF(OderItems!$A$2:$A$510,A141,OderItems!$G$2:$G$510)</f>
        <v>25000</v>
      </c>
      <c r="Q141" s="15">
        <f>SUMIF(OderItems!$A$2:$A$510,A141,OderItems!$K$2:$K$510)</f>
        <v>0</v>
      </c>
      <c r="R141" s="15">
        <f t="shared" si="1"/>
        <v>1089000</v>
      </c>
      <c r="S141" s="16" t="s">
        <v>79</v>
      </c>
      <c r="T141" s="9" t="b">
        <f t="shared" si="2"/>
        <v>1</v>
      </c>
      <c r="U141" s="13"/>
      <c r="V141" s="13"/>
      <c r="W141" s="13"/>
      <c r="X141" s="13"/>
      <c r="Y141" s="13"/>
      <c r="Z141" s="13"/>
    </row>
    <row r="142" ht="18.0" customHeight="1">
      <c r="A142" s="5" t="s">
        <v>950</v>
      </c>
      <c r="B142" s="5" t="s">
        <v>519</v>
      </c>
      <c r="C142" s="5" t="s">
        <v>88</v>
      </c>
      <c r="D142" s="12">
        <v>45585.69446759259</v>
      </c>
      <c r="E142" s="12">
        <v>45585.77780092593</v>
      </c>
      <c r="F142" s="12">
        <v>45587.69446759259</v>
      </c>
      <c r="G142" s="12">
        <v>45591.69446759259</v>
      </c>
      <c r="H142" s="12">
        <v>45593.69446759259</v>
      </c>
      <c r="I142" s="5" t="s">
        <v>520</v>
      </c>
      <c r="J142" s="5" t="s">
        <v>404</v>
      </c>
      <c r="K142" s="5" t="s">
        <v>406</v>
      </c>
      <c r="L142" s="5" t="s">
        <v>46</v>
      </c>
      <c r="M142" s="5" t="s">
        <v>192</v>
      </c>
      <c r="N142" s="9" t="str">
        <f>IFERROR(VLOOKUP(I142,Customers!$B$2:$L$81,11,FALSE),"")</f>
        <v>EMP005</v>
      </c>
      <c r="O142" s="15">
        <f>SUMIF(OderItems!$A$2:$A$510,A142,OderItems!$L$2:$L$510)</f>
        <v>588000</v>
      </c>
      <c r="P142" s="15">
        <f>SUMIF(OderItems!$A$2:$A$510,A142,OderItems!$G$2:$G$510)</f>
        <v>29000</v>
      </c>
      <c r="Q142" s="15">
        <f>SUMIF(OderItems!$A$2:$A$510,A142,OderItems!$K$2:$K$510)</f>
        <v>0</v>
      </c>
      <c r="R142" s="15">
        <f t="shared" si="1"/>
        <v>617000</v>
      </c>
      <c r="S142" s="16" t="s">
        <v>79</v>
      </c>
      <c r="T142" s="9" t="b">
        <f t="shared" si="2"/>
        <v>1</v>
      </c>
      <c r="U142" s="13"/>
      <c r="V142" s="13"/>
      <c r="W142" s="13"/>
      <c r="X142" s="13"/>
      <c r="Y142" s="13"/>
      <c r="Z142" s="13"/>
    </row>
    <row r="143" ht="18.0" customHeight="1">
      <c r="A143" s="5" t="s">
        <v>952</v>
      </c>
      <c r="B143" s="5" t="s">
        <v>67</v>
      </c>
      <c r="C143" s="5" t="s">
        <v>88</v>
      </c>
      <c r="D143" s="12">
        <v>45329.591782407406</v>
      </c>
      <c r="E143" s="12">
        <v>45329.67511574074</v>
      </c>
      <c r="F143" s="12">
        <v>45331.591782407406</v>
      </c>
      <c r="G143" s="12">
        <v>45335.591782407406</v>
      </c>
      <c r="H143" s="12">
        <v>45337.591782407406</v>
      </c>
      <c r="I143" s="5" t="s">
        <v>68</v>
      </c>
      <c r="J143" s="5" t="s">
        <v>100</v>
      </c>
      <c r="K143" s="5" t="s">
        <v>258</v>
      </c>
      <c r="L143" s="5" t="s">
        <v>74</v>
      </c>
      <c r="M143" s="5" t="s">
        <v>70</v>
      </c>
      <c r="N143" s="9" t="str">
        <f>IFERROR(VLOOKUP(I143,Customers!$B$2:$L$81,11,FALSE),"")</f>
        <v>EMP002</v>
      </c>
      <c r="O143" s="15">
        <f>SUMIF(OderItems!$A$2:$A$510,A143,OderItems!$L$2:$L$510)</f>
        <v>1034000</v>
      </c>
      <c r="P143" s="15">
        <f>SUMIF(OderItems!$A$2:$A$510,A143,OderItems!$G$2:$G$510)</f>
        <v>30000</v>
      </c>
      <c r="Q143" s="15">
        <f>SUMIF(OderItems!$A$2:$A$510,A143,OderItems!$K$2:$K$510)</f>
        <v>0</v>
      </c>
      <c r="R143" s="15">
        <f t="shared" si="1"/>
        <v>1064000</v>
      </c>
      <c r="S143" s="16" t="s">
        <v>79</v>
      </c>
      <c r="T143" s="9" t="b">
        <f t="shared" si="2"/>
        <v>1</v>
      </c>
      <c r="U143" s="13"/>
      <c r="V143" s="13"/>
      <c r="W143" s="13"/>
      <c r="X143" s="13"/>
      <c r="Y143" s="13"/>
      <c r="Z143" s="13"/>
    </row>
    <row r="144" ht="18.0" customHeight="1">
      <c r="A144" s="5" t="s">
        <v>954</v>
      </c>
      <c r="B144" s="5" t="s">
        <v>265</v>
      </c>
      <c r="C144" s="5" t="s">
        <v>88</v>
      </c>
      <c r="D144" s="12">
        <v>45860.24550925926</v>
      </c>
      <c r="E144" s="12">
        <v>45860.32884259259</v>
      </c>
      <c r="F144" s="12">
        <v>45862.24550925926</v>
      </c>
      <c r="G144" s="12">
        <v>45866.24550925926</v>
      </c>
      <c r="H144" s="12">
        <v>45868.24550925926</v>
      </c>
      <c r="I144" s="5" t="s">
        <v>267</v>
      </c>
      <c r="J144" s="5" t="s">
        <v>100</v>
      </c>
      <c r="K144" s="5" t="s">
        <v>102</v>
      </c>
      <c r="L144" s="5" t="s">
        <v>154</v>
      </c>
      <c r="M144" s="5" t="s">
        <v>268</v>
      </c>
      <c r="N144" s="9" t="str">
        <f>IFERROR(VLOOKUP(I144,Customers!$B$2:$L$81,11,FALSE),"")</f>
        <v>EMP006</v>
      </c>
      <c r="O144" s="15">
        <f>SUMIF(OderItems!$A$2:$A$510,A144,OderItems!$L$2:$L$510)</f>
        <v>149000</v>
      </c>
      <c r="P144" s="15">
        <f>SUMIF(OderItems!$A$2:$A$510,A144,OderItems!$G$2:$G$510)</f>
        <v>9000</v>
      </c>
      <c r="Q144" s="15">
        <f>SUMIF(OderItems!$A$2:$A$510,A144,OderItems!$K$2:$K$510)</f>
        <v>0</v>
      </c>
      <c r="R144" s="15">
        <f t="shared" si="1"/>
        <v>158000</v>
      </c>
      <c r="S144" s="16" t="s">
        <v>79</v>
      </c>
      <c r="T144" s="9" t="b">
        <f t="shared" si="2"/>
        <v>1</v>
      </c>
      <c r="U144" s="13"/>
      <c r="V144" s="13"/>
      <c r="W144" s="13"/>
      <c r="X144" s="13"/>
      <c r="Y144" s="13"/>
      <c r="Z144" s="13"/>
    </row>
    <row r="145" ht="18.0" customHeight="1">
      <c r="A145" s="5" t="s">
        <v>955</v>
      </c>
      <c r="B145" s="5" t="s">
        <v>30</v>
      </c>
      <c r="C145" s="5" t="s">
        <v>88</v>
      </c>
      <c r="D145" s="12">
        <v>46178.642280092594</v>
      </c>
      <c r="E145" s="12">
        <v>46178.72561342592</v>
      </c>
      <c r="F145" s="12">
        <v>46180.642280092594</v>
      </c>
      <c r="G145" s="12">
        <v>46184.642280092594</v>
      </c>
      <c r="H145" s="12">
        <v>46186.642280092594</v>
      </c>
      <c r="I145" s="5" t="s">
        <v>36</v>
      </c>
      <c r="J145" s="5" t="s">
        <v>100</v>
      </c>
      <c r="K145" s="5" t="s">
        <v>258</v>
      </c>
      <c r="L145" s="5" t="s">
        <v>46</v>
      </c>
      <c r="M145" s="5" t="s">
        <v>39</v>
      </c>
      <c r="N145" s="9" t="str">
        <f>IFERROR(VLOOKUP(I145,Customers!$B$2:$L$81,11,FALSE),"")</f>
        <v>EMP001</v>
      </c>
      <c r="O145" s="15">
        <f>SUMIF(OderItems!$A$2:$A$510,A145,OderItems!$L$2:$L$510)</f>
        <v>375000</v>
      </c>
      <c r="P145" s="15">
        <f>SUMIF(OderItems!$A$2:$A$510,A145,OderItems!$G$2:$G$510)</f>
        <v>4000</v>
      </c>
      <c r="Q145" s="15">
        <f>SUMIF(OderItems!$A$2:$A$510,A145,OderItems!$K$2:$K$510)</f>
        <v>0</v>
      </c>
      <c r="R145" s="15">
        <f t="shared" si="1"/>
        <v>379000</v>
      </c>
      <c r="S145" s="16" t="s">
        <v>79</v>
      </c>
      <c r="T145" s="9" t="b">
        <f t="shared" si="2"/>
        <v>1</v>
      </c>
      <c r="U145" s="13"/>
      <c r="V145" s="13"/>
      <c r="W145" s="13"/>
      <c r="X145" s="13"/>
      <c r="Y145" s="13"/>
      <c r="Z145" s="13"/>
    </row>
    <row r="146" ht="18.0" customHeight="1">
      <c r="A146" s="5" t="s">
        <v>957</v>
      </c>
      <c r="B146" s="5" t="s">
        <v>82</v>
      </c>
      <c r="C146" s="5" t="s">
        <v>88</v>
      </c>
      <c r="D146" s="12">
        <v>46155.107627314814</v>
      </c>
      <c r="E146" s="12">
        <v>46155.19096064815</v>
      </c>
      <c r="F146" s="12">
        <v>46157.107627314814</v>
      </c>
      <c r="G146" s="12">
        <v>46161.107627314814</v>
      </c>
      <c r="H146" s="12">
        <v>46163.107627314814</v>
      </c>
      <c r="I146" s="5" t="s">
        <v>83</v>
      </c>
      <c r="J146" s="5" t="s">
        <v>342</v>
      </c>
      <c r="K146" s="5" t="s">
        <v>102</v>
      </c>
      <c r="L146" s="5" t="s">
        <v>46</v>
      </c>
      <c r="M146" s="5" t="s">
        <v>84</v>
      </c>
      <c r="N146" s="9" t="str">
        <f>IFERROR(VLOOKUP(I146,Customers!$B$2:$L$81,11,FALSE),"")</f>
        <v>EMP003</v>
      </c>
      <c r="O146" s="15">
        <f>SUMIF(OderItems!$A$2:$A$510,A146,OderItems!$L$2:$L$510)</f>
        <v>2539000</v>
      </c>
      <c r="P146" s="15">
        <f>SUMIF(OderItems!$A$2:$A$510,A146,OderItems!$G$2:$G$510)</f>
        <v>46000</v>
      </c>
      <c r="Q146" s="15">
        <f>SUMIF(OderItems!$A$2:$A$510,A146,OderItems!$K$2:$K$510)</f>
        <v>0</v>
      </c>
      <c r="R146" s="15">
        <f t="shared" si="1"/>
        <v>2585000</v>
      </c>
      <c r="S146" s="16" t="s">
        <v>79</v>
      </c>
      <c r="T146" s="9" t="b">
        <f t="shared" si="2"/>
        <v>1</v>
      </c>
      <c r="U146" s="13"/>
      <c r="V146" s="13"/>
      <c r="W146" s="13"/>
      <c r="X146" s="13"/>
      <c r="Y146" s="13"/>
      <c r="Z146" s="13"/>
    </row>
    <row r="147" ht="18.0" customHeight="1">
      <c r="A147" s="5" t="s">
        <v>958</v>
      </c>
      <c r="B147" s="5" t="s">
        <v>357</v>
      </c>
      <c r="C147" s="5" t="s">
        <v>88</v>
      </c>
      <c r="D147" s="12">
        <v>46136.819548611114</v>
      </c>
      <c r="E147" s="12">
        <v>46136.90288194444</v>
      </c>
      <c r="F147" s="12">
        <v>46138.819548611114</v>
      </c>
      <c r="G147" s="12">
        <v>46142.819548611114</v>
      </c>
      <c r="H147" s="12">
        <v>46144.819548611114</v>
      </c>
      <c r="I147" s="5" t="s">
        <v>358</v>
      </c>
      <c r="J147" s="5" t="s">
        <v>471</v>
      </c>
      <c r="K147" s="5" t="s">
        <v>406</v>
      </c>
      <c r="L147" s="5" t="s">
        <v>154</v>
      </c>
      <c r="M147" s="5" t="s">
        <v>151</v>
      </c>
      <c r="N147" s="9" t="str">
        <f>IFERROR(VLOOKUP(I147,Customers!$B$2:$L$81,11,FALSE),"")</f>
        <v>EMP008</v>
      </c>
      <c r="O147" s="15">
        <f>SUMIF(OderItems!$A$2:$A$510,A147,OderItems!$L$2:$L$510)</f>
        <v>2078000</v>
      </c>
      <c r="P147" s="15">
        <f>SUMIF(OderItems!$A$2:$A$510,A147,OderItems!$G$2:$G$510)</f>
        <v>38000</v>
      </c>
      <c r="Q147" s="15">
        <f>SUMIF(OderItems!$A$2:$A$510,A147,OderItems!$K$2:$K$510)</f>
        <v>0</v>
      </c>
      <c r="R147" s="15">
        <f t="shared" si="1"/>
        <v>2116000</v>
      </c>
      <c r="S147" s="16" t="s">
        <v>79</v>
      </c>
      <c r="T147" s="9" t="b">
        <f t="shared" si="2"/>
        <v>1</v>
      </c>
      <c r="U147" s="13"/>
      <c r="V147" s="13"/>
      <c r="W147" s="13"/>
      <c r="X147" s="13"/>
      <c r="Y147" s="13"/>
      <c r="Z147" s="13"/>
    </row>
    <row r="148" ht="18.0" customHeight="1">
      <c r="A148" s="5" t="s">
        <v>960</v>
      </c>
      <c r="B148" s="5" t="s">
        <v>451</v>
      </c>
      <c r="C148" s="5" t="s">
        <v>88</v>
      </c>
      <c r="D148" s="12">
        <v>45970.18210648148</v>
      </c>
      <c r="E148" s="12">
        <v>45970.265439814815</v>
      </c>
      <c r="F148" s="12">
        <v>45972.18210648148</v>
      </c>
      <c r="G148" s="12">
        <v>45976.18210648148</v>
      </c>
      <c r="H148" s="12">
        <v>45978.18210648148</v>
      </c>
      <c r="I148" s="5" t="s">
        <v>452</v>
      </c>
      <c r="J148" s="5" t="s">
        <v>471</v>
      </c>
      <c r="K148" s="5" t="s">
        <v>258</v>
      </c>
      <c r="L148" s="5" t="s">
        <v>74</v>
      </c>
      <c r="M148" s="5" t="s">
        <v>142</v>
      </c>
      <c r="N148" s="9" t="str">
        <f>IFERROR(VLOOKUP(I148,Customers!$B$2:$L$81,11,FALSE),"")</f>
        <v>EMP004</v>
      </c>
      <c r="O148" s="15">
        <f>SUMIF(OderItems!$A$2:$A$510,A148,OderItems!$L$2:$L$510)</f>
        <v>1511000</v>
      </c>
      <c r="P148" s="15">
        <f>SUMIF(OderItems!$A$2:$A$510,A148,OderItems!$G$2:$G$510)</f>
        <v>35000</v>
      </c>
      <c r="Q148" s="15">
        <f>SUMIF(OderItems!$A$2:$A$510,A148,OderItems!$K$2:$K$510)</f>
        <v>0</v>
      </c>
      <c r="R148" s="15">
        <f t="shared" si="1"/>
        <v>1546000</v>
      </c>
      <c r="S148" s="16" t="s">
        <v>79</v>
      </c>
      <c r="T148" s="9" t="b">
        <f t="shared" si="2"/>
        <v>1</v>
      </c>
      <c r="U148" s="13"/>
      <c r="V148" s="13"/>
      <c r="W148" s="13"/>
      <c r="X148" s="13"/>
      <c r="Y148" s="13"/>
      <c r="Z148" s="13"/>
    </row>
    <row r="149" ht="18.0" customHeight="1">
      <c r="A149" s="5" t="s">
        <v>961</v>
      </c>
      <c r="B149" s="5" t="s">
        <v>564</v>
      </c>
      <c r="C149" s="5" t="s">
        <v>88</v>
      </c>
      <c r="D149" s="12">
        <v>45537.410520833335</v>
      </c>
      <c r="E149" s="12">
        <v>45537.49385416666</v>
      </c>
      <c r="F149" s="12">
        <v>45539.410520833335</v>
      </c>
      <c r="G149" s="12">
        <v>45543.410520833335</v>
      </c>
      <c r="H149" s="12">
        <v>45545.410520833335</v>
      </c>
      <c r="I149" s="5" t="s">
        <v>566</v>
      </c>
      <c r="J149" s="5" t="s">
        <v>471</v>
      </c>
      <c r="K149" s="5" t="s">
        <v>344</v>
      </c>
      <c r="L149" s="5" t="s">
        <v>74</v>
      </c>
      <c r="M149" s="5" t="s">
        <v>96</v>
      </c>
      <c r="N149" s="9" t="str">
        <f>IFERROR(VLOOKUP(I149,Customers!$B$2:$L$81,11,FALSE),"")</f>
        <v>EMP004</v>
      </c>
      <c r="O149" s="15">
        <f>SUMIF(OderItems!$A$2:$A$510,A149,OderItems!$L$2:$L$510)</f>
        <v>1757000</v>
      </c>
      <c r="P149" s="15">
        <f>SUMIF(OderItems!$A$2:$A$510,A149,OderItems!$G$2:$G$510)</f>
        <v>24000</v>
      </c>
      <c r="Q149" s="15">
        <f>SUMIF(OderItems!$A$2:$A$510,A149,OderItems!$K$2:$K$510)</f>
        <v>0</v>
      </c>
      <c r="R149" s="15">
        <f t="shared" si="1"/>
        <v>1781000</v>
      </c>
      <c r="S149" s="16" t="s">
        <v>79</v>
      </c>
      <c r="T149" s="9" t="b">
        <f t="shared" si="2"/>
        <v>1</v>
      </c>
      <c r="U149" s="13"/>
      <c r="V149" s="13"/>
      <c r="W149" s="13"/>
      <c r="X149" s="13"/>
      <c r="Y149" s="13"/>
      <c r="Z149" s="13"/>
    </row>
    <row r="150" ht="18.0" customHeight="1">
      <c r="A150" s="5" t="s">
        <v>963</v>
      </c>
      <c r="B150" s="5" t="s">
        <v>451</v>
      </c>
      <c r="C150" s="5" t="s">
        <v>88</v>
      </c>
      <c r="D150" s="12">
        <v>45424.93828703704</v>
      </c>
      <c r="E150" s="12">
        <v>45425.02162037037</v>
      </c>
      <c r="F150" s="12">
        <v>45426.93828703704</v>
      </c>
      <c r="G150" s="12">
        <v>45430.93828703704</v>
      </c>
      <c r="H150" s="12">
        <v>45432.93828703704</v>
      </c>
      <c r="I150" s="5" t="s">
        <v>452</v>
      </c>
      <c r="J150" s="5" t="s">
        <v>100</v>
      </c>
      <c r="K150" s="5" t="s">
        <v>344</v>
      </c>
      <c r="L150" s="5" t="s">
        <v>74</v>
      </c>
      <c r="M150" s="5" t="s">
        <v>142</v>
      </c>
      <c r="N150" s="9" t="str">
        <f>IFERROR(VLOOKUP(I150,Customers!$B$2:$L$81,11,FALSE),"")</f>
        <v>EMP004</v>
      </c>
      <c r="O150" s="15">
        <f>SUMIF(OderItems!$A$2:$A$510,A150,OderItems!$L$2:$L$510)</f>
        <v>552000</v>
      </c>
      <c r="P150" s="15">
        <f>SUMIF(OderItems!$A$2:$A$510,A150,OderItems!$G$2:$G$510)</f>
        <v>6000</v>
      </c>
      <c r="Q150" s="15">
        <f>SUMIF(OderItems!$A$2:$A$510,A150,OderItems!$K$2:$K$510)</f>
        <v>0</v>
      </c>
      <c r="R150" s="15">
        <f t="shared" si="1"/>
        <v>558000</v>
      </c>
      <c r="S150" s="16" t="s">
        <v>79</v>
      </c>
      <c r="T150" s="9" t="b">
        <f t="shared" si="2"/>
        <v>1</v>
      </c>
      <c r="U150" s="13"/>
      <c r="V150" s="13"/>
      <c r="W150" s="13"/>
      <c r="X150" s="13"/>
      <c r="Y150" s="13"/>
      <c r="Z150" s="13"/>
    </row>
    <row r="151" ht="18.0" customHeight="1">
      <c r="A151" s="5" t="s">
        <v>965</v>
      </c>
      <c r="B151" s="5" t="s">
        <v>67</v>
      </c>
      <c r="C151" s="5" t="s">
        <v>692</v>
      </c>
      <c r="D151" s="12">
        <v>45913.025729166664</v>
      </c>
      <c r="E151" s="18"/>
      <c r="F151" s="18"/>
      <c r="G151" s="18"/>
      <c r="H151" s="12">
        <v>45921.025729166664</v>
      </c>
      <c r="I151" s="5" t="s">
        <v>68</v>
      </c>
      <c r="J151" s="5" t="s">
        <v>100</v>
      </c>
      <c r="K151" s="5" t="s">
        <v>102</v>
      </c>
      <c r="L151" s="5" t="s">
        <v>74</v>
      </c>
      <c r="M151" s="5" t="s">
        <v>70</v>
      </c>
      <c r="N151" s="9" t="str">
        <f>IFERROR(VLOOKUP(I151,Customers!$B$2:$L$81,11,FALSE),"")</f>
        <v>EMP002</v>
      </c>
      <c r="O151" s="15">
        <f>SUMIF(OderItems!$A$2:$A$510,A151,OderItems!$L$2:$L$510)</f>
        <v>736000</v>
      </c>
      <c r="P151" s="15">
        <f>SUMIF(OderItems!$A$2:$A$510,A151,OderItems!$G$2:$G$510)</f>
        <v>9000</v>
      </c>
      <c r="Q151" s="15">
        <f>SUMIF(OderItems!$A$2:$A$510,A151,OderItems!$K$2:$K$510)</f>
        <v>0</v>
      </c>
      <c r="R151" s="15">
        <f t="shared" si="1"/>
        <v>745000</v>
      </c>
      <c r="S151" s="16" t="s">
        <v>79</v>
      </c>
      <c r="T151" s="9" t="b">
        <f t="shared" si="2"/>
        <v>0</v>
      </c>
      <c r="U151" s="13"/>
      <c r="V151" s="13"/>
      <c r="W151" s="13"/>
      <c r="X151" s="13"/>
      <c r="Y151" s="13"/>
      <c r="Z151" s="13"/>
    </row>
    <row r="152" ht="18.0" customHeight="1">
      <c r="A152" s="5" t="s">
        <v>966</v>
      </c>
      <c r="B152" s="5" t="s">
        <v>466</v>
      </c>
      <c r="C152" s="5" t="s">
        <v>88</v>
      </c>
      <c r="D152" s="12">
        <v>45455.08645833333</v>
      </c>
      <c r="E152" s="12">
        <v>45455.16979166667</v>
      </c>
      <c r="F152" s="12">
        <v>45457.08645833333</v>
      </c>
      <c r="G152" s="12">
        <v>45461.08645833333</v>
      </c>
      <c r="H152" s="12">
        <v>45463.08645833333</v>
      </c>
      <c r="I152" s="5" t="s">
        <v>467</v>
      </c>
      <c r="J152" s="5" t="s">
        <v>100</v>
      </c>
      <c r="K152" s="5" t="s">
        <v>406</v>
      </c>
      <c r="L152" s="5" t="s">
        <v>154</v>
      </c>
      <c r="M152" s="5" t="s">
        <v>151</v>
      </c>
      <c r="N152" s="9" t="str">
        <f>IFERROR(VLOOKUP(I152,Customers!$B$2:$L$81,11,FALSE),"")</f>
        <v>EMP006</v>
      </c>
      <c r="O152" s="15">
        <f>SUMIF(OderItems!$A$2:$A$510,A152,OderItems!$L$2:$L$510)</f>
        <v>764000</v>
      </c>
      <c r="P152" s="15">
        <f>SUMIF(OderItems!$A$2:$A$510,A152,OderItems!$G$2:$G$510)</f>
        <v>23000</v>
      </c>
      <c r="Q152" s="15">
        <f>SUMIF(OderItems!$A$2:$A$510,A152,OderItems!$K$2:$K$510)</f>
        <v>0</v>
      </c>
      <c r="R152" s="15">
        <f t="shared" si="1"/>
        <v>787000</v>
      </c>
      <c r="S152" s="16" t="s">
        <v>79</v>
      </c>
      <c r="T152" s="9" t="b">
        <f t="shared" si="2"/>
        <v>1</v>
      </c>
      <c r="U152" s="13"/>
      <c r="V152" s="13"/>
      <c r="W152" s="13"/>
      <c r="X152" s="13"/>
      <c r="Y152" s="13"/>
      <c r="Z152" s="13"/>
    </row>
    <row r="153" ht="18.0" customHeight="1">
      <c r="A153" s="5" t="s">
        <v>969</v>
      </c>
      <c r="B153" s="5" t="s">
        <v>428</v>
      </c>
      <c r="C153" s="5" t="s">
        <v>692</v>
      </c>
      <c r="D153" s="12">
        <v>46224.41295138889</v>
      </c>
      <c r="E153" s="18"/>
      <c r="F153" s="18"/>
      <c r="G153" s="18"/>
      <c r="H153" s="12">
        <v>46232.41295138889</v>
      </c>
      <c r="I153" s="5" t="s">
        <v>429</v>
      </c>
      <c r="J153" s="5" t="s">
        <v>100</v>
      </c>
      <c r="K153" s="5" t="s">
        <v>258</v>
      </c>
      <c r="L153" s="5" t="s">
        <v>154</v>
      </c>
      <c r="M153" s="5" t="s">
        <v>260</v>
      </c>
      <c r="N153" s="9" t="str">
        <f>IFERROR(VLOOKUP(I153,Customers!$B$2:$L$81,11,FALSE),"")</f>
        <v>EMP001</v>
      </c>
      <c r="O153" s="15">
        <f>SUMIF(OderItems!$A$2:$A$510,A153,OderItems!$L$2:$L$510)</f>
        <v>624000</v>
      </c>
      <c r="P153" s="15">
        <f>SUMIF(OderItems!$A$2:$A$510,A153,OderItems!$G$2:$G$510)</f>
        <v>14000</v>
      </c>
      <c r="Q153" s="15">
        <f>SUMIF(OderItems!$A$2:$A$510,A153,OderItems!$K$2:$K$510)</f>
        <v>0</v>
      </c>
      <c r="R153" s="15">
        <f t="shared" si="1"/>
        <v>638000</v>
      </c>
      <c r="S153" s="16" t="s">
        <v>79</v>
      </c>
      <c r="T153" s="9" t="b">
        <f t="shared" si="2"/>
        <v>0</v>
      </c>
      <c r="U153" s="13"/>
      <c r="V153" s="13"/>
      <c r="W153" s="13"/>
      <c r="X153" s="13"/>
      <c r="Y153" s="13"/>
      <c r="Z153" s="13"/>
    </row>
    <row r="154" ht="18.0" customHeight="1">
      <c r="A154" s="5" t="s">
        <v>970</v>
      </c>
      <c r="B154" s="5" t="s">
        <v>551</v>
      </c>
      <c r="C154" s="5" t="s">
        <v>751</v>
      </c>
      <c r="D154" s="12">
        <v>45578.533634259256</v>
      </c>
      <c r="E154" s="12">
        <v>45578.61696759259</v>
      </c>
      <c r="F154" s="18"/>
      <c r="G154" s="18"/>
      <c r="H154" s="12">
        <v>45586.533634259256</v>
      </c>
      <c r="I154" s="5" t="s">
        <v>552</v>
      </c>
      <c r="J154" s="5" t="s">
        <v>342</v>
      </c>
      <c r="K154" s="5" t="s">
        <v>406</v>
      </c>
      <c r="L154" s="5" t="s">
        <v>46</v>
      </c>
      <c r="M154" s="5" t="s">
        <v>553</v>
      </c>
      <c r="N154" s="9" t="str">
        <f>IFERROR(VLOOKUP(I154,Customers!$B$2:$L$81,11,FALSE),"")</f>
        <v>EMP002</v>
      </c>
      <c r="O154" s="15">
        <f>SUMIF(OderItems!$A$2:$A$510,A154,OderItems!$L$2:$L$510)</f>
        <v>368000</v>
      </c>
      <c r="P154" s="15">
        <f>SUMIF(OderItems!$A$2:$A$510,A154,OderItems!$G$2:$G$510)</f>
        <v>11000</v>
      </c>
      <c r="Q154" s="15">
        <f>SUMIF(OderItems!$A$2:$A$510,A154,OderItems!$K$2:$K$510)</f>
        <v>0</v>
      </c>
      <c r="R154" s="15">
        <f t="shared" si="1"/>
        <v>379000</v>
      </c>
      <c r="S154" s="16" t="s">
        <v>79</v>
      </c>
      <c r="T154" s="9" t="b">
        <f t="shared" si="2"/>
        <v>0</v>
      </c>
      <c r="U154" s="13"/>
      <c r="V154" s="13"/>
      <c r="W154" s="13"/>
      <c r="X154" s="13"/>
      <c r="Y154" s="13"/>
      <c r="Z154" s="13"/>
    </row>
    <row r="155" ht="18.0" customHeight="1">
      <c r="A155" s="5" t="s">
        <v>972</v>
      </c>
      <c r="B155" s="5" t="s">
        <v>212</v>
      </c>
      <c r="C155" s="5" t="s">
        <v>88</v>
      </c>
      <c r="D155" s="12">
        <v>46172.26336805556</v>
      </c>
      <c r="E155" s="12">
        <v>46172.34670138889</v>
      </c>
      <c r="F155" s="12">
        <v>46174.26336805556</v>
      </c>
      <c r="G155" s="12">
        <v>46178.26336805556</v>
      </c>
      <c r="H155" s="12">
        <v>46180.26336805556</v>
      </c>
      <c r="I155" s="5" t="s">
        <v>213</v>
      </c>
      <c r="J155" s="5" t="s">
        <v>471</v>
      </c>
      <c r="K155" s="5" t="s">
        <v>258</v>
      </c>
      <c r="L155" s="5" t="s">
        <v>154</v>
      </c>
      <c r="M155" s="5" t="s">
        <v>215</v>
      </c>
      <c r="N155" s="9" t="str">
        <f>IFERROR(VLOOKUP(I155,Customers!$B$2:$L$81,11,FALSE),"")</f>
        <v>EMP008</v>
      </c>
      <c r="O155" s="15">
        <f>SUMIF(OderItems!$A$2:$A$510,A155,OderItems!$L$2:$L$510)</f>
        <v>2146000</v>
      </c>
      <c r="P155" s="15">
        <f>SUMIF(OderItems!$A$2:$A$510,A155,OderItems!$G$2:$G$510)</f>
        <v>28000</v>
      </c>
      <c r="Q155" s="15">
        <f>SUMIF(OderItems!$A$2:$A$510,A155,OderItems!$K$2:$K$510)</f>
        <v>0</v>
      </c>
      <c r="R155" s="15">
        <f t="shared" si="1"/>
        <v>2174000</v>
      </c>
      <c r="S155" s="16" t="s">
        <v>79</v>
      </c>
      <c r="T155" s="9" t="b">
        <f t="shared" si="2"/>
        <v>1</v>
      </c>
      <c r="U155" s="13"/>
      <c r="V155" s="13"/>
      <c r="W155" s="13"/>
      <c r="X155" s="13"/>
      <c r="Y155" s="13"/>
      <c r="Z155" s="13"/>
    </row>
    <row r="156" ht="18.0" customHeight="1">
      <c r="A156" s="5" t="s">
        <v>974</v>
      </c>
      <c r="B156" s="5" t="s">
        <v>247</v>
      </c>
      <c r="C156" s="5" t="s">
        <v>751</v>
      </c>
      <c r="D156" s="12">
        <v>45700.25502314815</v>
      </c>
      <c r="E156" s="12">
        <v>45700.33835648148</v>
      </c>
      <c r="F156" s="18"/>
      <c r="G156" s="18"/>
      <c r="H156" s="12">
        <v>45708.25502314815</v>
      </c>
      <c r="I156" s="5" t="s">
        <v>254</v>
      </c>
      <c r="J156" s="5" t="s">
        <v>471</v>
      </c>
      <c r="K156" s="5" t="s">
        <v>406</v>
      </c>
      <c r="L156" s="5" t="s">
        <v>154</v>
      </c>
      <c r="M156" s="5" t="s">
        <v>260</v>
      </c>
      <c r="N156" s="9" t="str">
        <f>IFERROR(VLOOKUP(I156,Customers!$B$2:$L$81,11,FALSE),"")</f>
        <v>EMP008</v>
      </c>
      <c r="O156" s="15">
        <f>SUMIF(OderItems!$A$2:$A$510,A156,OderItems!$L$2:$L$510)</f>
        <v>1100000</v>
      </c>
      <c r="P156" s="15">
        <f>SUMIF(OderItems!$A$2:$A$510,A156,OderItems!$G$2:$G$510)</f>
        <v>20000</v>
      </c>
      <c r="Q156" s="15">
        <f>SUMIF(OderItems!$A$2:$A$510,A156,OderItems!$K$2:$K$510)</f>
        <v>0</v>
      </c>
      <c r="R156" s="15">
        <f t="shared" si="1"/>
        <v>1120000</v>
      </c>
      <c r="S156" s="16" t="s">
        <v>79</v>
      </c>
      <c r="T156" s="9" t="b">
        <f t="shared" si="2"/>
        <v>0</v>
      </c>
      <c r="U156" s="13"/>
      <c r="V156" s="13"/>
      <c r="W156" s="13"/>
      <c r="X156" s="13"/>
      <c r="Y156" s="13"/>
      <c r="Z156" s="13"/>
    </row>
    <row r="157" ht="18.0" customHeight="1">
      <c r="A157" s="5" t="s">
        <v>975</v>
      </c>
      <c r="B157" s="5" t="s">
        <v>457</v>
      </c>
      <c r="C157" s="5" t="s">
        <v>88</v>
      </c>
      <c r="D157" s="12">
        <v>45761.830613425926</v>
      </c>
      <c r="E157" s="12">
        <v>45761.91394675926</v>
      </c>
      <c r="F157" s="12">
        <v>45763.830613425926</v>
      </c>
      <c r="G157" s="12">
        <v>45767.830613425926</v>
      </c>
      <c r="H157" s="12">
        <v>45769.830613425926</v>
      </c>
      <c r="I157" s="5" t="s">
        <v>459</v>
      </c>
      <c r="J157" s="5" t="s">
        <v>471</v>
      </c>
      <c r="K157" s="5" t="s">
        <v>344</v>
      </c>
      <c r="L157" s="5" t="s">
        <v>74</v>
      </c>
      <c r="M157" s="5" t="s">
        <v>96</v>
      </c>
      <c r="N157" s="9" t="str">
        <f>IFERROR(VLOOKUP(I157,Customers!$B$2:$L$81,11,FALSE),"")</f>
        <v>EMP005</v>
      </c>
      <c r="O157" s="15">
        <f>SUMIF(OderItems!$A$2:$A$510,A157,OderItems!$L$2:$L$510)</f>
        <v>244000</v>
      </c>
      <c r="P157" s="15">
        <f>SUMIF(OderItems!$A$2:$A$510,A157,OderItems!$G$2:$G$510)</f>
        <v>6000</v>
      </c>
      <c r="Q157" s="15">
        <f>SUMIF(OderItems!$A$2:$A$510,A157,OderItems!$K$2:$K$510)</f>
        <v>0</v>
      </c>
      <c r="R157" s="15">
        <f t="shared" si="1"/>
        <v>250000</v>
      </c>
      <c r="S157" s="16" t="s">
        <v>79</v>
      </c>
      <c r="T157" s="9" t="b">
        <f t="shared" si="2"/>
        <v>1</v>
      </c>
      <c r="U157" s="13"/>
      <c r="V157" s="13"/>
      <c r="W157" s="13"/>
      <c r="X157" s="13"/>
      <c r="Y157" s="13"/>
      <c r="Z157" s="13"/>
    </row>
    <row r="158" ht="18.0" customHeight="1">
      <c r="A158" s="5" t="s">
        <v>977</v>
      </c>
      <c r="B158" s="5" t="s">
        <v>188</v>
      </c>
      <c r="C158" s="5" t="s">
        <v>751</v>
      </c>
      <c r="D158" s="12">
        <v>45667.39743055555</v>
      </c>
      <c r="E158" s="12">
        <v>45667.48076388889</v>
      </c>
      <c r="F158" s="18"/>
      <c r="G158" s="18"/>
      <c r="H158" s="12">
        <v>45675.39743055555</v>
      </c>
      <c r="I158" s="5" t="s">
        <v>190</v>
      </c>
      <c r="J158" s="5" t="s">
        <v>100</v>
      </c>
      <c r="K158" s="5" t="s">
        <v>344</v>
      </c>
      <c r="L158" s="5" t="s">
        <v>46</v>
      </c>
      <c r="M158" s="5" t="s">
        <v>192</v>
      </c>
      <c r="N158" s="9" t="str">
        <f>IFERROR(VLOOKUP(I158,Customers!$B$2:$L$81,11,FALSE),"")</f>
        <v>EMP006</v>
      </c>
      <c r="O158" s="15">
        <f>SUMIF(OderItems!$A$2:$A$510,A158,OderItems!$L$2:$L$510)</f>
        <v>3166000</v>
      </c>
      <c r="P158" s="15">
        <f>SUMIF(OderItems!$A$2:$A$510,A158,OderItems!$G$2:$G$510)</f>
        <v>33000</v>
      </c>
      <c r="Q158" s="15">
        <f>SUMIF(OderItems!$A$2:$A$510,A158,OderItems!$K$2:$K$510)</f>
        <v>0</v>
      </c>
      <c r="R158" s="15">
        <f t="shared" si="1"/>
        <v>3199000</v>
      </c>
      <c r="S158" s="16" t="s">
        <v>79</v>
      </c>
      <c r="T158" s="9" t="b">
        <f t="shared" si="2"/>
        <v>0</v>
      </c>
      <c r="U158" s="13"/>
      <c r="V158" s="13"/>
      <c r="W158" s="13"/>
      <c r="X158" s="13"/>
      <c r="Y158" s="13"/>
      <c r="Z158" s="13"/>
    </row>
    <row r="159" ht="18.0" customHeight="1">
      <c r="A159" s="5" t="s">
        <v>978</v>
      </c>
      <c r="B159" s="5" t="s">
        <v>188</v>
      </c>
      <c r="C159" s="5" t="s">
        <v>751</v>
      </c>
      <c r="D159" s="12">
        <v>45624.20104166667</v>
      </c>
      <c r="E159" s="12">
        <v>45624.284375</v>
      </c>
      <c r="F159" s="18"/>
      <c r="G159" s="18"/>
      <c r="H159" s="12">
        <v>45632.20104166667</v>
      </c>
      <c r="I159" s="5" t="s">
        <v>190</v>
      </c>
      <c r="J159" s="5" t="s">
        <v>100</v>
      </c>
      <c r="K159" s="5" t="s">
        <v>102</v>
      </c>
      <c r="L159" s="5" t="s">
        <v>46</v>
      </c>
      <c r="M159" s="5" t="s">
        <v>192</v>
      </c>
      <c r="N159" s="9" t="str">
        <f>IFERROR(VLOOKUP(I159,Customers!$B$2:$L$81,11,FALSE),"")</f>
        <v>EMP006</v>
      </c>
      <c r="O159" s="15">
        <f>SUMIF(OderItems!$A$2:$A$510,A159,OderItems!$L$2:$L$510)</f>
        <v>4319000</v>
      </c>
      <c r="P159" s="15">
        <f>SUMIF(OderItems!$A$2:$A$510,A159,OderItems!$G$2:$G$510)</f>
        <v>69000</v>
      </c>
      <c r="Q159" s="15">
        <f>SUMIF(OderItems!$A$2:$A$510,A159,OderItems!$K$2:$K$510)</f>
        <v>0</v>
      </c>
      <c r="R159" s="15">
        <f t="shared" si="1"/>
        <v>4388000</v>
      </c>
      <c r="S159" s="16" t="s">
        <v>79</v>
      </c>
      <c r="T159" s="9" t="b">
        <f t="shared" si="2"/>
        <v>0</v>
      </c>
      <c r="U159" s="13"/>
      <c r="V159" s="13"/>
      <c r="W159" s="13"/>
      <c r="X159" s="13"/>
      <c r="Y159" s="13"/>
      <c r="Z159" s="13"/>
    </row>
    <row r="160" ht="18.0" customHeight="1">
      <c r="A160" s="5" t="s">
        <v>980</v>
      </c>
      <c r="B160" s="5" t="s">
        <v>303</v>
      </c>
      <c r="C160" s="5" t="s">
        <v>759</v>
      </c>
      <c r="D160" s="12">
        <v>45988.33629629629</v>
      </c>
      <c r="E160" s="12">
        <v>45988.41962962963</v>
      </c>
      <c r="F160" s="12">
        <v>45990.33629629629</v>
      </c>
      <c r="G160" s="12">
        <v>45994.33629629629</v>
      </c>
      <c r="H160" s="12">
        <v>45996.33629629629</v>
      </c>
      <c r="I160" s="5" t="s">
        <v>305</v>
      </c>
      <c r="J160" s="5" t="s">
        <v>100</v>
      </c>
      <c r="K160" s="5" t="s">
        <v>406</v>
      </c>
      <c r="L160" s="5" t="s">
        <v>46</v>
      </c>
      <c r="M160" s="5" t="s">
        <v>306</v>
      </c>
      <c r="N160" s="9" t="str">
        <f>IFERROR(VLOOKUP(I160,Customers!$B$2:$L$81,11,FALSE),"")</f>
        <v>EMP002</v>
      </c>
      <c r="O160" s="15">
        <f>SUMIF(OderItems!$A$2:$A$510,A160,OderItems!$L$2:$L$510)</f>
        <v>1400000</v>
      </c>
      <c r="P160" s="15">
        <f>SUMIF(OderItems!$A$2:$A$510,A160,OderItems!$G$2:$G$510)</f>
        <v>35000</v>
      </c>
      <c r="Q160" s="15">
        <f>SUMIF(OderItems!$A$2:$A$510,A160,OderItems!$K$2:$K$510)</f>
        <v>0</v>
      </c>
      <c r="R160" s="15">
        <f t="shared" si="1"/>
        <v>1435000</v>
      </c>
      <c r="S160" s="16" t="s">
        <v>79</v>
      </c>
      <c r="T160" s="9" t="b">
        <f t="shared" si="2"/>
        <v>0</v>
      </c>
      <c r="U160" s="13"/>
      <c r="V160" s="13"/>
      <c r="W160" s="13"/>
      <c r="X160" s="13"/>
      <c r="Y160" s="13"/>
      <c r="Z160" s="13"/>
    </row>
    <row r="161" ht="18.0" customHeight="1">
      <c r="A161" s="5" t="s">
        <v>982</v>
      </c>
      <c r="B161" s="5" t="s">
        <v>519</v>
      </c>
      <c r="C161" s="5" t="s">
        <v>88</v>
      </c>
      <c r="D161" s="12">
        <v>45427.230625</v>
      </c>
      <c r="E161" s="12">
        <v>45427.31395833333</v>
      </c>
      <c r="F161" s="12">
        <v>45429.230625</v>
      </c>
      <c r="G161" s="12">
        <v>45433.230625</v>
      </c>
      <c r="H161" s="12">
        <v>45435.230625</v>
      </c>
      <c r="I161" s="5" t="s">
        <v>520</v>
      </c>
      <c r="J161" s="5" t="s">
        <v>100</v>
      </c>
      <c r="K161" s="5" t="s">
        <v>406</v>
      </c>
      <c r="L161" s="5" t="s">
        <v>46</v>
      </c>
      <c r="M161" s="5" t="s">
        <v>192</v>
      </c>
      <c r="N161" s="9" t="str">
        <f>IFERROR(VLOOKUP(I161,Customers!$B$2:$L$81,11,FALSE),"")</f>
        <v>EMP005</v>
      </c>
      <c r="O161" s="15">
        <f>SUMIF(OderItems!$A$2:$A$510,A161,OderItems!$L$2:$L$510)</f>
        <v>740000</v>
      </c>
      <c r="P161" s="15">
        <f>SUMIF(OderItems!$A$2:$A$510,A161,OderItems!$G$2:$G$510)</f>
        <v>6000</v>
      </c>
      <c r="Q161" s="15">
        <f>SUMIF(OderItems!$A$2:$A$510,A161,OderItems!$K$2:$K$510)</f>
        <v>0</v>
      </c>
      <c r="R161" s="15">
        <f t="shared" si="1"/>
        <v>746000</v>
      </c>
      <c r="S161" s="16" t="s">
        <v>79</v>
      </c>
      <c r="T161" s="9" t="b">
        <f t="shared" si="2"/>
        <v>1</v>
      </c>
      <c r="U161" s="13"/>
      <c r="V161" s="13"/>
      <c r="W161" s="13"/>
      <c r="X161" s="13"/>
      <c r="Y161" s="13"/>
      <c r="Z161" s="13"/>
    </row>
    <row r="162" ht="18.0" customHeight="1">
      <c r="A162" s="5" t="s">
        <v>983</v>
      </c>
      <c r="B162" s="5" t="s">
        <v>82</v>
      </c>
      <c r="C162" s="5" t="s">
        <v>88</v>
      </c>
      <c r="D162" s="12">
        <v>45523.68850694445</v>
      </c>
      <c r="E162" s="12">
        <v>45523.771840277775</v>
      </c>
      <c r="F162" s="12">
        <v>45525.68850694445</v>
      </c>
      <c r="G162" s="12">
        <v>45529.68850694445</v>
      </c>
      <c r="H162" s="12">
        <v>45531.68850694445</v>
      </c>
      <c r="I162" s="5" t="s">
        <v>83</v>
      </c>
      <c r="J162" s="5" t="s">
        <v>471</v>
      </c>
      <c r="K162" s="5" t="s">
        <v>344</v>
      </c>
      <c r="L162" s="5" t="s">
        <v>46</v>
      </c>
      <c r="M162" s="5" t="s">
        <v>84</v>
      </c>
      <c r="N162" s="9" t="str">
        <f>IFERROR(VLOOKUP(I162,Customers!$B$2:$L$81,11,FALSE),"")</f>
        <v>EMP003</v>
      </c>
      <c r="O162" s="15">
        <f>SUMIF(OderItems!$A$2:$A$510,A162,OderItems!$L$2:$L$510)</f>
        <v>3235000</v>
      </c>
      <c r="P162" s="15">
        <f>SUMIF(OderItems!$A$2:$A$510,A162,OderItems!$G$2:$G$510)</f>
        <v>43000</v>
      </c>
      <c r="Q162" s="15">
        <f>SUMIF(OderItems!$A$2:$A$510,A162,OderItems!$K$2:$K$510)</f>
        <v>0</v>
      </c>
      <c r="R162" s="15">
        <f t="shared" si="1"/>
        <v>3278000</v>
      </c>
      <c r="S162" s="16" t="s">
        <v>79</v>
      </c>
      <c r="T162" s="9" t="b">
        <f t="shared" si="2"/>
        <v>1</v>
      </c>
      <c r="U162" s="13"/>
      <c r="V162" s="13"/>
      <c r="W162" s="13"/>
      <c r="X162" s="13"/>
      <c r="Y162" s="13"/>
      <c r="Z162" s="13"/>
    </row>
    <row r="163" ht="18.0" customHeight="1">
      <c r="A163" s="5" t="s">
        <v>985</v>
      </c>
      <c r="B163" s="5" t="s">
        <v>599</v>
      </c>
      <c r="C163" s="5" t="s">
        <v>88</v>
      </c>
      <c r="D163" s="12">
        <v>45858.088425925926</v>
      </c>
      <c r="E163" s="12">
        <v>45858.17175925926</v>
      </c>
      <c r="F163" s="12">
        <v>45860.088425925926</v>
      </c>
      <c r="G163" s="12">
        <v>45864.088425925926</v>
      </c>
      <c r="H163" s="12">
        <v>45866.088425925926</v>
      </c>
      <c r="I163" s="5" t="s">
        <v>600</v>
      </c>
      <c r="J163" s="5" t="s">
        <v>100</v>
      </c>
      <c r="K163" s="5" t="s">
        <v>406</v>
      </c>
      <c r="L163" s="5" t="s">
        <v>46</v>
      </c>
      <c r="M163" s="5" t="s">
        <v>84</v>
      </c>
      <c r="N163" s="9" t="str">
        <f>IFERROR(VLOOKUP(I163,Customers!$B$2:$L$81,11,FALSE),"")</f>
        <v>EMP002</v>
      </c>
      <c r="O163" s="15">
        <f>SUMIF(OderItems!$A$2:$A$510,A163,OderItems!$L$2:$L$510)</f>
        <v>2252000</v>
      </c>
      <c r="P163" s="15">
        <f>SUMIF(OderItems!$A$2:$A$510,A163,OderItems!$G$2:$G$510)</f>
        <v>31000</v>
      </c>
      <c r="Q163" s="15">
        <f>SUMIF(OderItems!$A$2:$A$510,A163,OderItems!$K$2:$K$510)</f>
        <v>0</v>
      </c>
      <c r="R163" s="15">
        <f t="shared" si="1"/>
        <v>2283000</v>
      </c>
      <c r="S163" s="16" t="s">
        <v>79</v>
      </c>
      <c r="T163" s="9" t="b">
        <f t="shared" si="2"/>
        <v>1</v>
      </c>
      <c r="U163" s="13"/>
      <c r="V163" s="13"/>
      <c r="W163" s="13"/>
      <c r="X163" s="13"/>
      <c r="Y163" s="13"/>
      <c r="Z163" s="13"/>
    </row>
    <row r="164" ht="18.0" customHeight="1">
      <c r="A164" s="5" t="s">
        <v>987</v>
      </c>
      <c r="B164" s="5" t="s">
        <v>363</v>
      </c>
      <c r="C164" s="5" t="s">
        <v>88</v>
      </c>
      <c r="D164" s="12">
        <v>45463.7090625</v>
      </c>
      <c r="E164" s="12">
        <v>45463.792395833334</v>
      </c>
      <c r="F164" s="12">
        <v>45465.7090625</v>
      </c>
      <c r="G164" s="12">
        <v>45469.7090625</v>
      </c>
      <c r="H164" s="12">
        <v>45471.7090625</v>
      </c>
      <c r="I164" s="5" t="s">
        <v>364</v>
      </c>
      <c r="J164" s="5" t="s">
        <v>471</v>
      </c>
      <c r="K164" s="5" t="s">
        <v>258</v>
      </c>
      <c r="L164" s="5" t="s">
        <v>74</v>
      </c>
      <c r="M164" s="5" t="s">
        <v>142</v>
      </c>
      <c r="N164" s="9" t="str">
        <f>IFERROR(VLOOKUP(I164,Customers!$B$2:$L$81,11,FALSE),"")</f>
        <v>EMP001</v>
      </c>
      <c r="O164" s="15">
        <f>SUMIF(OderItems!$A$2:$A$510,A164,OderItems!$L$2:$L$510)</f>
        <v>260000</v>
      </c>
      <c r="P164" s="15">
        <f>SUMIF(OderItems!$A$2:$A$510,A164,OderItems!$G$2:$G$510)</f>
        <v>8000</v>
      </c>
      <c r="Q164" s="15">
        <f>SUMIF(OderItems!$A$2:$A$510,A164,OderItems!$K$2:$K$510)</f>
        <v>0</v>
      </c>
      <c r="R164" s="15">
        <f t="shared" si="1"/>
        <v>268000</v>
      </c>
      <c r="S164" s="16" t="s">
        <v>79</v>
      </c>
      <c r="T164" s="9" t="b">
        <f t="shared" si="2"/>
        <v>1</v>
      </c>
      <c r="U164" s="13"/>
      <c r="V164" s="13"/>
      <c r="W164" s="13"/>
      <c r="X164" s="13"/>
      <c r="Y164" s="13"/>
      <c r="Z164" s="13"/>
    </row>
    <row r="165" ht="18.0" customHeight="1">
      <c r="A165" s="5" t="s">
        <v>988</v>
      </c>
      <c r="B165" s="5" t="s">
        <v>314</v>
      </c>
      <c r="C165" s="5" t="s">
        <v>88</v>
      </c>
      <c r="D165" s="12">
        <v>45727.216898148145</v>
      </c>
      <c r="E165" s="12">
        <v>45727.30023148148</v>
      </c>
      <c r="F165" s="12">
        <v>45729.216898148145</v>
      </c>
      <c r="G165" s="12">
        <v>45733.216898148145</v>
      </c>
      <c r="H165" s="12">
        <v>45735.216898148145</v>
      </c>
      <c r="I165" s="5" t="s">
        <v>315</v>
      </c>
      <c r="J165" s="5" t="s">
        <v>471</v>
      </c>
      <c r="K165" s="5" t="s">
        <v>406</v>
      </c>
      <c r="L165" s="5" t="s">
        <v>154</v>
      </c>
      <c r="M165" s="5" t="s">
        <v>268</v>
      </c>
      <c r="N165" s="9" t="str">
        <f>IFERROR(VLOOKUP(I165,Customers!$B$2:$L$81,11,FALSE),"")</f>
        <v>EMP003</v>
      </c>
      <c r="O165" s="15">
        <f>SUMIF(OderItems!$A$2:$A$510,A165,OderItems!$L$2:$L$510)</f>
        <v>510000</v>
      </c>
      <c r="P165" s="15">
        <f>SUMIF(OderItems!$A$2:$A$510,A165,OderItems!$G$2:$G$510)</f>
        <v>14000</v>
      </c>
      <c r="Q165" s="15">
        <f>SUMIF(OderItems!$A$2:$A$510,A165,OderItems!$K$2:$K$510)</f>
        <v>0</v>
      </c>
      <c r="R165" s="15">
        <f t="shared" si="1"/>
        <v>524000</v>
      </c>
      <c r="S165" s="16" t="s">
        <v>79</v>
      </c>
      <c r="T165" s="9" t="b">
        <f t="shared" si="2"/>
        <v>1</v>
      </c>
      <c r="U165" s="13"/>
      <c r="V165" s="13"/>
      <c r="W165" s="13"/>
      <c r="X165" s="13"/>
      <c r="Y165" s="13"/>
      <c r="Z165" s="13"/>
    </row>
    <row r="166" ht="18.0" customHeight="1">
      <c r="A166" s="5" t="s">
        <v>990</v>
      </c>
      <c r="B166" s="5" t="s">
        <v>338</v>
      </c>
      <c r="C166" s="5" t="s">
        <v>88</v>
      </c>
      <c r="D166" s="12">
        <v>45426.47020833333</v>
      </c>
      <c r="E166" s="12">
        <v>45426.55354166667</v>
      </c>
      <c r="F166" s="12">
        <v>45428.47020833333</v>
      </c>
      <c r="G166" s="12">
        <v>45432.47020833333</v>
      </c>
      <c r="H166" s="12">
        <v>45434.47020833333</v>
      </c>
      <c r="I166" s="5" t="s">
        <v>339</v>
      </c>
      <c r="J166" s="5" t="s">
        <v>471</v>
      </c>
      <c r="K166" s="5" t="s">
        <v>258</v>
      </c>
      <c r="L166" s="5" t="s">
        <v>74</v>
      </c>
      <c r="M166" s="5" t="s">
        <v>287</v>
      </c>
      <c r="N166" s="9" t="str">
        <f>IFERROR(VLOOKUP(I166,Customers!$B$2:$L$81,11,FALSE),"")</f>
        <v>EMP006</v>
      </c>
      <c r="O166" s="15">
        <f>SUMIF(OderItems!$A$2:$A$510,A166,OderItems!$L$2:$L$510)</f>
        <v>2976000</v>
      </c>
      <c r="P166" s="15">
        <f>SUMIF(OderItems!$A$2:$A$510,A166,OderItems!$G$2:$G$510)</f>
        <v>51000</v>
      </c>
      <c r="Q166" s="15">
        <f>SUMIF(OderItems!$A$2:$A$510,A166,OderItems!$K$2:$K$510)</f>
        <v>0</v>
      </c>
      <c r="R166" s="15">
        <f t="shared" si="1"/>
        <v>3027000</v>
      </c>
      <c r="S166" s="16" t="s">
        <v>79</v>
      </c>
      <c r="T166" s="9" t="b">
        <f t="shared" si="2"/>
        <v>1</v>
      </c>
      <c r="U166" s="13"/>
      <c r="V166" s="13"/>
      <c r="W166" s="13"/>
      <c r="X166" s="13"/>
      <c r="Y166" s="13"/>
      <c r="Z166" s="13"/>
    </row>
    <row r="167" ht="18.0" customHeight="1">
      <c r="A167" s="5" t="s">
        <v>991</v>
      </c>
      <c r="B167" s="5" t="s">
        <v>140</v>
      </c>
      <c r="C167" s="5" t="s">
        <v>88</v>
      </c>
      <c r="D167" s="12">
        <v>46001.58560185185</v>
      </c>
      <c r="E167" s="12">
        <v>46001.66893518518</v>
      </c>
      <c r="F167" s="12">
        <v>46003.58560185185</v>
      </c>
      <c r="G167" s="12">
        <v>46007.58560185185</v>
      </c>
      <c r="H167" s="12">
        <v>46009.58560185185</v>
      </c>
      <c r="I167" s="5" t="s">
        <v>141</v>
      </c>
      <c r="J167" s="5" t="s">
        <v>100</v>
      </c>
      <c r="K167" s="5" t="s">
        <v>102</v>
      </c>
      <c r="L167" s="5" t="s">
        <v>74</v>
      </c>
      <c r="M167" s="5" t="s">
        <v>142</v>
      </c>
      <c r="N167" s="9" t="str">
        <f>IFERROR(VLOOKUP(I167,Customers!$B$2:$L$81,11,FALSE),"")</f>
        <v>EMP001</v>
      </c>
      <c r="O167" s="15">
        <f>SUMIF(OderItems!$A$2:$A$510,A167,OderItems!$L$2:$L$510)</f>
        <v>3304000</v>
      </c>
      <c r="P167" s="15">
        <f>SUMIF(OderItems!$A$2:$A$510,A167,OderItems!$G$2:$G$510)</f>
        <v>56000</v>
      </c>
      <c r="Q167" s="15">
        <f>SUMIF(OderItems!$A$2:$A$510,A167,OderItems!$K$2:$K$510)</f>
        <v>0</v>
      </c>
      <c r="R167" s="15">
        <f t="shared" si="1"/>
        <v>3360000</v>
      </c>
      <c r="S167" s="16" t="s">
        <v>79</v>
      </c>
      <c r="T167" s="9" t="b">
        <f t="shared" si="2"/>
        <v>1</v>
      </c>
      <c r="U167" s="13"/>
      <c r="V167" s="13"/>
      <c r="W167" s="13"/>
      <c r="X167" s="13"/>
      <c r="Y167" s="13"/>
      <c r="Z167" s="13"/>
    </row>
    <row r="168" ht="18.0" customHeight="1">
      <c r="A168" s="5" t="s">
        <v>993</v>
      </c>
      <c r="B168" s="5" t="s">
        <v>463</v>
      </c>
      <c r="C168" s="5" t="s">
        <v>759</v>
      </c>
      <c r="D168" s="12">
        <v>45667.27334490741</v>
      </c>
      <c r="E168" s="12">
        <v>45667.35667824074</v>
      </c>
      <c r="F168" s="12">
        <v>45669.27334490741</v>
      </c>
      <c r="G168" s="12">
        <v>45673.27334490741</v>
      </c>
      <c r="H168" s="12">
        <v>45675.27334490741</v>
      </c>
      <c r="I168" s="5" t="s">
        <v>469</v>
      </c>
      <c r="J168" s="5" t="s">
        <v>471</v>
      </c>
      <c r="K168" s="5" t="s">
        <v>344</v>
      </c>
      <c r="L168" s="5" t="s">
        <v>46</v>
      </c>
      <c r="M168" s="5" t="s">
        <v>192</v>
      </c>
      <c r="N168" s="9" t="str">
        <f>IFERROR(VLOOKUP(I168,Customers!$B$2:$L$81,11,FALSE),"")</f>
        <v>EMP006</v>
      </c>
      <c r="O168" s="15">
        <f>SUMIF(OderItems!$A$2:$A$510,A168,OderItems!$L$2:$L$510)</f>
        <v>1662000</v>
      </c>
      <c r="P168" s="15">
        <f>SUMIF(OderItems!$A$2:$A$510,A168,OderItems!$G$2:$G$510)</f>
        <v>45000</v>
      </c>
      <c r="Q168" s="15">
        <f>SUMIF(OderItems!$A$2:$A$510,A168,OderItems!$K$2:$K$510)</f>
        <v>0</v>
      </c>
      <c r="R168" s="15">
        <f t="shared" si="1"/>
        <v>1707000</v>
      </c>
      <c r="S168" s="16" t="s">
        <v>79</v>
      </c>
      <c r="T168" s="9" t="b">
        <f t="shared" si="2"/>
        <v>0</v>
      </c>
      <c r="U168" s="13"/>
      <c r="V168" s="13"/>
      <c r="W168" s="13"/>
      <c r="X168" s="13"/>
      <c r="Y168" s="13"/>
      <c r="Z168" s="13"/>
    </row>
    <row r="169" ht="18.0" customHeight="1">
      <c r="A169" s="5" t="s">
        <v>995</v>
      </c>
      <c r="B169" s="5" t="s">
        <v>348</v>
      </c>
      <c r="C169" s="5" t="s">
        <v>759</v>
      </c>
      <c r="D169" s="12">
        <v>45587.10061342592</v>
      </c>
      <c r="E169" s="12">
        <v>45587.18394675926</v>
      </c>
      <c r="F169" s="12">
        <v>45589.10061342592</v>
      </c>
      <c r="G169" s="12">
        <v>45593.10061342592</v>
      </c>
      <c r="H169" s="12">
        <v>45595.10061342592</v>
      </c>
      <c r="I169" s="5" t="s">
        <v>349</v>
      </c>
      <c r="J169" s="5" t="s">
        <v>342</v>
      </c>
      <c r="K169" s="5" t="s">
        <v>344</v>
      </c>
      <c r="L169" s="5" t="s">
        <v>154</v>
      </c>
      <c r="M169" s="5" t="s">
        <v>202</v>
      </c>
      <c r="N169" s="9" t="str">
        <f>IFERROR(VLOOKUP(I169,Customers!$B$2:$L$81,11,FALSE),"")</f>
        <v>EMP007</v>
      </c>
      <c r="O169" s="15">
        <f>SUMIF(OderItems!$A$2:$A$510,A169,OderItems!$L$2:$L$510)</f>
        <v>1696000</v>
      </c>
      <c r="P169" s="15">
        <f>SUMIF(OderItems!$A$2:$A$510,A169,OderItems!$G$2:$G$510)</f>
        <v>37000</v>
      </c>
      <c r="Q169" s="15">
        <f>SUMIF(OderItems!$A$2:$A$510,A169,OderItems!$K$2:$K$510)</f>
        <v>0</v>
      </c>
      <c r="R169" s="15">
        <f t="shared" si="1"/>
        <v>1733000</v>
      </c>
      <c r="S169" s="16" t="s">
        <v>79</v>
      </c>
      <c r="T169" s="9" t="b">
        <f t="shared" si="2"/>
        <v>0</v>
      </c>
      <c r="U169" s="13"/>
      <c r="V169" s="13"/>
      <c r="W169" s="13"/>
      <c r="X169" s="13"/>
      <c r="Y169" s="13"/>
      <c r="Z169" s="13"/>
    </row>
    <row r="170" ht="18.0" customHeight="1">
      <c r="A170" s="5" t="s">
        <v>996</v>
      </c>
      <c r="B170" s="5" t="s">
        <v>528</v>
      </c>
      <c r="C170" s="5" t="s">
        <v>759</v>
      </c>
      <c r="D170" s="12">
        <v>45779.38018518518</v>
      </c>
      <c r="E170" s="12">
        <v>45779.46351851852</v>
      </c>
      <c r="F170" s="12">
        <v>45781.38018518518</v>
      </c>
      <c r="G170" s="12">
        <v>45785.38018518518</v>
      </c>
      <c r="H170" s="12">
        <v>45787.38018518518</v>
      </c>
      <c r="I170" s="5" t="s">
        <v>529</v>
      </c>
      <c r="J170" s="5" t="s">
        <v>471</v>
      </c>
      <c r="K170" s="5" t="s">
        <v>406</v>
      </c>
      <c r="L170" s="5" t="s">
        <v>154</v>
      </c>
      <c r="M170" s="5" t="s">
        <v>215</v>
      </c>
      <c r="N170" s="9" t="str">
        <f>IFERROR(VLOOKUP(I170,Customers!$B$2:$L$81,11,FALSE),"")</f>
        <v>EMP006</v>
      </c>
      <c r="O170" s="15">
        <f>SUMIF(OderItems!$A$2:$A$510,A170,OderItems!$L$2:$L$510)</f>
        <v>871000</v>
      </c>
      <c r="P170" s="15">
        <f>SUMIF(OderItems!$A$2:$A$510,A170,OderItems!$G$2:$G$510)</f>
        <v>21000</v>
      </c>
      <c r="Q170" s="15">
        <f>SUMIF(OderItems!$A$2:$A$510,A170,OderItems!$K$2:$K$510)</f>
        <v>0</v>
      </c>
      <c r="R170" s="15">
        <f t="shared" si="1"/>
        <v>892000</v>
      </c>
      <c r="S170" s="16" t="s">
        <v>79</v>
      </c>
      <c r="T170" s="9" t="b">
        <f t="shared" si="2"/>
        <v>0</v>
      </c>
      <c r="U170" s="13"/>
      <c r="V170" s="13"/>
      <c r="W170" s="13"/>
      <c r="X170" s="13"/>
      <c r="Y170" s="13"/>
      <c r="Z170" s="13"/>
    </row>
    <row r="171" ht="18.0" customHeight="1">
      <c r="A171" s="5" t="s">
        <v>998</v>
      </c>
      <c r="B171" s="5" t="s">
        <v>357</v>
      </c>
      <c r="C171" s="5" t="s">
        <v>88</v>
      </c>
      <c r="D171" s="12">
        <v>45717.954305555555</v>
      </c>
      <c r="E171" s="12">
        <v>45718.03763888889</v>
      </c>
      <c r="F171" s="12">
        <v>45719.954305555555</v>
      </c>
      <c r="G171" s="12">
        <v>45723.954305555555</v>
      </c>
      <c r="H171" s="12">
        <v>45725.954305555555</v>
      </c>
      <c r="I171" s="5" t="s">
        <v>358</v>
      </c>
      <c r="J171" s="5" t="s">
        <v>471</v>
      </c>
      <c r="K171" s="5" t="s">
        <v>102</v>
      </c>
      <c r="L171" s="5" t="s">
        <v>154</v>
      </c>
      <c r="M171" s="5" t="s">
        <v>151</v>
      </c>
      <c r="N171" s="9" t="str">
        <f>IFERROR(VLOOKUP(I171,Customers!$B$2:$L$81,11,FALSE),"")</f>
        <v>EMP008</v>
      </c>
      <c r="O171" s="15">
        <f>SUMIF(OderItems!$A$2:$A$510,A171,OderItems!$L$2:$L$510)</f>
        <v>976000</v>
      </c>
      <c r="P171" s="15">
        <f>SUMIF(OderItems!$A$2:$A$510,A171,OderItems!$G$2:$G$510)</f>
        <v>22000</v>
      </c>
      <c r="Q171" s="15">
        <f>SUMIF(OderItems!$A$2:$A$510,A171,OderItems!$K$2:$K$510)</f>
        <v>0</v>
      </c>
      <c r="R171" s="15">
        <f t="shared" si="1"/>
        <v>998000</v>
      </c>
      <c r="S171" s="16" t="s">
        <v>79</v>
      </c>
      <c r="T171" s="9" t="b">
        <f t="shared" si="2"/>
        <v>1</v>
      </c>
      <c r="U171" s="13"/>
      <c r="V171" s="13"/>
      <c r="W171" s="13"/>
      <c r="X171" s="13"/>
      <c r="Y171" s="13"/>
      <c r="Z171" s="13"/>
    </row>
    <row r="172" ht="18.0" customHeight="1">
      <c r="A172" s="5" t="s">
        <v>1000</v>
      </c>
      <c r="B172" s="5" t="s">
        <v>130</v>
      </c>
      <c r="C172" s="5" t="s">
        <v>88</v>
      </c>
      <c r="D172" s="12">
        <v>45899.37721064815</v>
      </c>
      <c r="E172" s="12">
        <v>45899.460543981484</v>
      </c>
      <c r="F172" s="12">
        <v>45901.37721064815</v>
      </c>
      <c r="G172" s="12">
        <v>45905.37721064815</v>
      </c>
      <c r="H172" s="12">
        <v>45907.37721064815</v>
      </c>
      <c r="I172" s="5" t="s">
        <v>131</v>
      </c>
      <c r="J172" s="5" t="s">
        <v>471</v>
      </c>
      <c r="K172" s="5" t="s">
        <v>406</v>
      </c>
      <c r="L172" s="5" t="s">
        <v>46</v>
      </c>
      <c r="M172" s="5" t="s">
        <v>132</v>
      </c>
      <c r="N172" s="9" t="str">
        <f>IFERROR(VLOOKUP(I172,Customers!$B$2:$L$81,11,FALSE),"")</f>
        <v>EMP008</v>
      </c>
      <c r="O172" s="15">
        <f>SUMIF(OderItems!$A$2:$A$510,A172,OderItems!$L$2:$L$510)</f>
        <v>2370000</v>
      </c>
      <c r="P172" s="15">
        <f>SUMIF(OderItems!$A$2:$A$510,A172,OderItems!$G$2:$G$510)</f>
        <v>37000</v>
      </c>
      <c r="Q172" s="15">
        <f>SUMIF(OderItems!$A$2:$A$510,A172,OderItems!$K$2:$K$510)</f>
        <v>0</v>
      </c>
      <c r="R172" s="15">
        <f t="shared" si="1"/>
        <v>2407000</v>
      </c>
      <c r="S172" s="16" t="s">
        <v>79</v>
      </c>
      <c r="T172" s="9" t="b">
        <f t="shared" si="2"/>
        <v>1</v>
      </c>
      <c r="U172" s="13"/>
      <c r="V172" s="13"/>
      <c r="W172" s="13"/>
      <c r="X172" s="13"/>
      <c r="Y172" s="13"/>
      <c r="Z172" s="13"/>
    </row>
    <row r="173" ht="18.0" customHeight="1">
      <c r="A173" s="5" t="s">
        <v>1001</v>
      </c>
      <c r="B173" s="5" t="s">
        <v>212</v>
      </c>
      <c r="C173" s="5" t="s">
        <v>88</v>
      </c>
      <c r="D173" s="12">
        <v>45779.12074074074</v>
      </c>
      <c r="E173" s="12">
        <v>45779.20407407408</v>
      </c>
      <c r="F173" s="12">
        <v>45781.12074074074</v>
      </c>
      <c r="G173" s="12">
        <v>45785.12074074074</v>
      </c>
      <c r="H173" s="12">
        <v>45787.12074074074</v>
      </c>
      <c r="I173" s="5" t="s">
        <v>213</v>
      </c>
      <c r="J173" s="5" t="s">
        <v>342</v>
      </c>
      <c r="K173" s="5" t="s">
        <v>406</v>
      </c>
      <c r="L173" s="5" t="s">
        <v>154</v>
      </c>
      <c r="M173" s="5" t="s">
        <v>215</v>
      </c>
      <c r="N173" s="9" t="str">
        <f>IFERROR(VLOOKUP(I173,Customers!$B$2:$L$81,11,FALSE),"")</f>
        <v>EMP008</v>
      </c>
      <c r="O173" s="15">
        <f>SUMIF(OderItems!$A$2:$A$510,A173,OderItems!$L$2:$L$510)</f>
        <v>1887000</v>
      </c>
      <c r="P173" s="15">
        <f>SUMIF(OderItems!$A$2:$A$510,A173,OderItems!$G$2:$G$510)</f>
        <v>34000</v>
      </c>
      <c r="Q173" s="15">
        <f>SUMIF(OderItems!$A$2:$A$510,A173,OderItems!$K$2:$K$510)</f>
        <v>0</v>
      </c>
      <c r="R173" s="15">
        <f t="shared" si="1"/>
        <v>1921000</v>
      </c>
      <c r="S173" s="16" t="s">
        <v>79</v>
      </c>
      <c r="T173" s="9" t="b">
        <f t="shared" si="2"/>
        <v>1</v>
      </c>
      <c r="U173" s="13"/>
      <c r="V173" s="13"/>
      <c r="W173" s="13"/>
      <c r="X173" s="13"/>
      <c r="Y173" s="13"/>
      <c r="Z173" s="13"/>
    </row>
    <row r="174" ht="18.0" customHeight="1">
      <c r="A174" s="5" t="s">
        <v>1003</v>
      </c>
      <c r="B174" s="5" t="s">
        <v>348</v>
      </c>
      <c r="C174" s="5" t="s">
        <v>759</v>
      </c>
      <c r="D174" s="12">
        <v>46050.547164351854</v>
      </c>
      <c r="E174" s="12">
        <v>46050.63049768518</v>
      </c>
      <c r="F174" s="12">
        <v>46052.547164351854</v>
      </c>
      <c r="G174" s="12">
        <v>46056.547164351854</v>
      </c>
      <c r="H174" s="12">
        <v>46058.547164351854</v>
      </c>
      <c r="I174" s="5" t="s">
        <v>349</v>
      </c>
      <c r="J174" s="5" t="s">
        <v>404</v>
      </c>
      <c r="K174" s="5" t="s">
        <v>344</v>
      </c>
      <c r="L174" s="5" t="s">
        <v>154</v>
      </c>
      <c r="M174" s="5" t="s">
        <v>202</v>
      </c>
      <c r="N174" s="9" t="str">
        <f>IFERROR(VLOOKUP(I174,Customers!$B$2:$L$81,11,FALSE),"")</f>
        <v>EMP007</v>
      </c>
      <c r="O174" s="15">
        <f>SUMIF(OderItems!$A$2:$A$510,A174,OderItems!$L$2:$L$510)</f>
        <v>1560000</v>
      </c>
      <c r="P174" s="15">
        <f>SUMIF(OderItems!$A$2:$A$510,A174,OderItems!$G$2:$G$510)</f>
        <v>27000</v>
      </c>
      <c r="Q174" s="15">
        <f>SUMIF(OderItems!$A$2:$A$510,A174,OderItems!$K$2:$K$510)</f>
        <v>0</v>
      </c>
      <c r="R174" s="15">
        <f t="shared" si="1"/>
        <v>1587000</v>
      </c>
      <c r="S174" s="16" t="s">
        <v>79</v>
      </c>
      <c r="T174" s="9" t="b">
        <f t="shared" si="2"/>
        <v>0</v>
      </c>
      <c r="U174" s="13"/>
      <c r="V174" s="13"/>
      <c r="W174" s="13"/>
      <c r="X174" s="13"/>
      <c r="Y174" s="13"/>
      <c r="Z174" s="13"/>
    </row>
    <row r="175" ht="18.0" customHeight="1">
      <c r="A175" s="5" t="s">
        <v>1004</v>
      </c>
      <c r="B175" s="5" t="s">
        <v>245</v>
      </c>
      <c r="C175" s="5" t="s">
        <v>88</v>
      </c>
      <c r="D175" s="12">
        <v>46213.67986111111</v>
      </c>
      <c r="E175" s="12">
        <v>46213.763194444444</v>
      </c>
      <c r="F175" s="12">
        <v>46215.67986111111</v>
      </c>
      <c r="G175" s="12">
        <v>46219.67986111111</v>
      </c>
      <c r="H175" s="12">
        <v>46221.67986111111</v>
      </c>
      <c r="I175" s="5" t="s">
        <v>246</v>
      </c>
      <c r="J175" s="5" t="s">
        <v>342</v>
      </c>
      <c r="K175" s="5" t="s">
        <v>344</v>
      </c>
      <c r="L175" s="5" t="s">
        <v>154</v>
      </c>
      <c r="M175" s="5" t="s">
        <v>151</v>
      </c>
      <c r="N175" s="9" t="str">
        <f>IFERROR(VLOOKUP(I175,Customers!$B$2:$L$81,11,FALSE),"")</f>
        <v>EMP004</v>
      </c>
      <c r="O175" s="15">
        <f>SUMIF(OderItems!$A$2:$A$510,A175,OderItems!$L$2:$L$510)</f>
        <v>1764000</v>
      </c>
      <c r="P175" s="15">
        <f>SUMIF(OderItems!$A$2:$A$510,A175,OderItems!$G$2:$G$510)</f>
        <v>13000</v>
      </c>
      <c r="Q175" s="15">
        <f>SUMIF(OderItems!$A$2:$A$510,A175,OderItems!$K$2:$K$510)</f>
        <v>0</v>
      </c>
      <c r="R175" s="15">
        <f t="shared" si="1"/>
        <v>1777000</v>
      </c>
      <c r="S175" s="16" t="s">
        <v>79</v>
      </c>
      <c r="T175" s="9" t="b">
        <f t="shared" si="2"/>
        <v>1</v>
      </c>
      <c r="U175" s="13"/>
      <c r="V175" s="13"/>
      <c r="W175" s="13"/>
      <c r="X175" s="13"/>
      <c r="Y175" s="13"/>
      <c r="Z175" s="13"/>
    </row>
    <row r="176" ht="18.0" customHeight="1">
      <c r="A176" s="5" t="s">
        <v>1006</v>
      </c>
      <c r="B176" s="5" t="s">
        <v>67</v>
      </c>
      <c r="C176" s="5" t="s">
        <v>759</v>
      </c>
      <c r="D176" s="12">
        <v>46164.35832175926</v>
      </c>
      <c r="E176" s="12">
        <v>46164.441655092596</v>
      </c>
      <c r="F176" s="12">
        <v>46166.35832175926</v>
      </c>
      <c r="G176" s="12">
        <v>46170.35832175926</v>
      </c>
      <c r="H176" s="12">
        <v>46172.35832175926</v>
      </c>
      <c r="I176" s="5" t="s">
        <v>68</v>
      </c>
      <c r="J176" s="5" t="s">
        <v>100</v>
      </c>
      <c r="K176" s="5" t="s">
        <v>406</v>
      </c>
      <c r="L176" s="5" t="s">
        <v>74</v>
      </c>
      <c r="M176" s="5" t="s">
        <v>70</v>
      </c>
      <c r="N176" s="9" t="str">
        <f>IFERROR(VLOOKUP(I176,Customers!$B$2:$L$81,11,FALSE),"")</f>
        <v>EMP002</v>
      </c>
      <c r="O176" s="15">
        <f>SUMIF(OderItems!$A$2:$A$510,A176,OderItems!$L$2:$L$510)</f>
        <v>491000</v>
      </c>
      <c r="P176" s="15">
        <f>SUMIF(OderItems!$A$2:$A$510,A176,OderItems!$G$2:$G$510)</f>
        <v>11000</v>
      </c>
      <c r="Q176" s="15">
        <f>SUMIF(OderItems!$A$2:$A$510,A176,OderItems!$K$2:$K$510)</f>
        <v>0</v>
      </c>
      <c r="R176" s="15">
        <f t="shared" si="1"/>
        <v>502000</v>
      </c>
      <c r="S176" s="16" t="s">
        <v>79</v>
      </c>
      <c r="T176" s="9" t="b">
        <f t="shared" si="2"/>
        <v>0</v>
      </c>
      <c r="U176" s="13"/>
      <c r="V176" s="13"/>
      <c r="W176" s="13"/>
      <c r="X176" s="13"/>
      <c r="Y176" s="13"/>
      <c r="Z176" s="13"/>
    </row>
    <row r="177" ht="18.0" customHeight="1">
      <c r="A177" s="5" t="s">
        <v>1008</v>
      </c>
      <c r="B177" s="5" t="s">
        <v>247</v>
      </c>
      <c r="C177" s="5" t="s">
        <v>751</v>
      </c>
      <c r="D177" s="12">
        <v>45369.68173611111</v>
      </c>
      <c r="E177" s="12">
        <v>45369.765069444446</v>
      </c>
      <c r="F177" s="18"/>
      <c r="G177" s="18"/>
      <c r="H177" s="12">
        <v>45377.68173611111</v>
      </c>
      <c r="I177" s="5" t="s">
        <v>254</v>
      </c>
      <c r="J177" s="5" t="s">
        <v>342</v>
      </c>
      <c r="K177" s="5" t="s">
        <v>258</v>
      </c>
      <c r="L177" s="5" t="s">
        <v>154</v>
      </c>
      <c r="M177" s="5" t="s">
        <v>260</v>
      </c>
      <c r="N177" s="9" t="str">
        <f>IFERROR(VLOOKUP(I177,Customers!$B$2:$L$81,11,FALSE),"")</f>
        <v>EMP008</v>
      </c>
      <c r="O177" s="15">
        <f>SUMIF(OderItems!$A$2:$A$510,A177,OderItems!$L$2:$L$510)</f>
        <v>3532000</v>
      </c>
      <c r="P177" s="15">
        <f>SUMIF(OderItems!$A$2:$A$510,A177,OderItems!$G$2:$G$510)</f>
        <v>40000</v>
      </c>
      <c r="Q177" s="15">
        <f>SUMIF(OderItems!$A$2:$A$510,A177,OderItems!$K$2:$K$510)</f>
        <v>0</v>
      </c>
      <c r="R177" s="15">
        <f t="shared" si="1"/>
        <v>3572000</v>
      </c>
      <c r="S177" s="16" t="s">
        <v>79</v>
      </c>
      <c r="T177" s="9" t="b">
        <f t="shared" si="2"/>
        <v>0</v>
      </c>
      <c r="U177" s="13"/>
      <c r="V177" s="13"/>
      <c r="W177" s="13"/>
      <c r="X177" s="13"/>
      <c r="Y177" s="13"/>
      <c r="Z177" s="13"/>
    </row>
    <row r="178" ht="18.0" customHeight="1">
      <c r="A178" s="5" t="s">
        <v>1009</v>
      </c>
      <c r="B178" s="5" t="s">
        <v>386</v>
      </c>
      <c r="C178" s="5" t="s">
        <v>88</v>
      </c>
      <c r="D178" s="12">
        <v>45589.24707175926</v>
      </c>
      <c r="E178" s="12">
        <v>45589.330405092594</v>
      </c>
      <c r="F178" s="12">
        <v>45591.24707175926</v>
      </c>
      <c r="G178" s="12">
        <v>45595.24707175926</v>
      </c>
      <c r="H178" s="12">
        <v>45597.24707175926</v>
      </c>
      <c r="I178" s="5" t="s">
        <v>387</v>
      </c>
      <c r="J178" s="5" t="s">
        <v>342</v>
      </c>
      <c r="K178" s="5" t="s">
        <v>258</v>
      </c>
      <c r="L178" s="5" t="s">
        <v>46</v>
      </c>
      <c r="M178" s="5" t="s">
        <v>84</v>
      </c>
      <c r="N178" s="9" t="str">
        <f>IFERROR(VLOOKUP(I178,Customers!$B$2:$L$81,11,FALSE),"")</f>
        <v>EMP004</v>
      </c>
      <c r="O178" s="15">
        <f>SUMIF(OderItems!$A$2:$A$510,A178,OderItems!$L$2:$L$510)</f>
        <v>952000</v>
      </c>
      <c r="P178" s="15">
        <f>SUMIF(OderItems!$A$2:$A$510,A178,OderItems!$G$2:$G$510)</f>
        <v>20000</v>
      </c>
      <c r="Q178" s="15">
        <f>SUMIF(OderItems!$A$2:$A$510,A178,OderItems!$K$2:$K$510)</f>
        <v>0</v>
      </c>
      <c r="R178" s="15">
        <f t="shared" si="1"/>
        <v>972000</v>
      </c>
      <c r="S178" s="16" t="s">
        <v>79</v>
      </c>
      <c r="T178" s="9" t="b">
        <f t="shared" si="2"/>
        <v>1</v>
      </c>
      <c r="U178" s="13"/>
      <c r="V178" s="13"/>
      <c r="W178" s="13"/>
      <c r="X178" s="13"/>
      <c r="Y178" s="13"/>
      <c r="Z178" s="13"/>
    </row>
    <row r="179" ht="18.0" customHeight="1">
      <c r="A179" s="5" t="s">
        <v>1010</v>
      </c>
      <c r="B179" s="5" t="s">
        <v>220</v>
      </c>
      <c r="C179" s="5" t="s">
        <v>692</v>
      </c>
      <c r="D179" s="12">
        <v>45304.3740625</v>
      </c>
      <c r="E179" s="18"/>
      <c r="F179" s="18"/>
      <c r="G179" s="18"/>
      <c r="H179" s="12">
        <v>45312.3740625</v>
      </c>
      <c r="I179" s="5" t="s">
        <v>221</v>
      </c>
      <c r="J179" s="5" t="s">
        <v>100</v>
      </c>
      <c r="K179" s="5" t="s">
        <v>406</v>
      </c>
      <c r="L179" s="5" t="s">
        <v>154</v>
      </c>
      <c r="M179" s="5" t="s">
        <v>151</v>
      </c>
      <c r="N179" s="9" t="str">
        <f>IFERROR(VLOOKUP(I179,Customers!$B$2:$L$81,11,FALSE),"")</f>
        <v>EMP001</v>
      </c>
      <c r="O179" s="15">
        <f>SUMIF(OderItems!$A$2:$A$510,A179,OderItems!$L$2:$L$510)</f>
        <v>3223000</v>
      </c>
      <c r="P179" s="15">
        <f>SUMIF(OderItems!$A$2:$A$510,A179,OderItems!$G$2:$G$510)</f>
        <v>39000</v>
      </c>
      <c r="Q179" s="15">
        <f>SUMIF(OderItems!$A$2:$A$510,A179,OderItems!$K$2:$K$510)</f>
        <v>0</v>
      </c>
      <c r="R179" s="15">
        <f t="shared" si="1"/>
        <v>3262000</v>
      </c>
      <c r="S179" s="16" t="s">
        <v>79</v>
      </c>
      <c r="T179" s="9" t="b">
        <f t="shared" si="2"/>
        <v>0</v>
      </c>
      <c r="U179" s="13"/>
      <c r="V179" s="13"/>
      <c r="W179" s="13"/>
      <c r="X179" s="13"/>
      <c r="Y179" s="13"/>
      <c r="Z179" s="13"/>
    </row>
    <row r="180" ht="18.0" customHeight="1">
      <c r="A180" s="5" t="s">
        <v>1012</v>
      </c>
      <c r="B180" s="5" t="s">
        <v>484</v>
      </c>
      <c r="C180" s="5" t="s">
        <v>88</v>
      </c>
      <c r="D180" s="12">
        <v>45574.68072916667</v>
      </c>
      <c r="E180" s="12">
        <v>45574.7640625</v>
      </c>
      <c r="F180" s="12">
        <v>45576.68072916667</v>
      </c>
      <c r="G180" s="12">
        <v>45580.68072916667</v>
      </c>
      <c r="H180" s="12">
        <v>45582.68072916667</v>
      </c>
      <c r="I180" s="5" t="s">
        <v>485</v>
      </c>
      <c r="J180" s="5" t="s">
        <v>342</v>
      </c>
      <c r="K180" s="5" t="s">
        <v>258</v>
      </c>
      <c r="L180" s="5" t="s">
        <v>46</v>
      </c>
      <c r="M180" s="5" t="s">
        <v>39</v>
      </c>
      <c r="N180" s="9" t="str">
        <f>IFERROR(VLOOKUP(I180,Customers!$B$2:$L$81,11,FALSE),"")</f>
        <v>EMP008</v>
      </c>
      <c r="O180" s="15">
        <f>SUMIF(OderItems!$A$2:$A$510,A180,OderItems!$L$2:$L$510)</f>
        <v>3160000</v>
      </c>
      <c r="P180" s="15">
        <f>SUMIF(OderItems!$A$2:$A$510,A180,OderItems!$G$2:$G$510)</f>
        <v>32000</v>
      </c>
      <c r="Q180" s="15">
        <f>SUMIF(OderItems!$A$2:$A$510,A180,OderItems!$K$2:$K$510)</f>
        <v>0</v>
      </c>
      <c r="R180" s="15">
        <f t="shared" si="1"/>
        <v>3192000</v>
      </c>
      <c r="S180" s="16" t="s">
        <v>79</v>
      </c>
      <c r="T180" s="9" t="b">
        <f t="shared" si="2"/>
        <v>1</v>
      </c>
      <c r="U180" s="13"/>
      <c r="V180" s="13"/>
      <c r="W180" s="13"/>
      <c r="X180" s="13"/>
      <c r="Y180" s="13"/>
      <c r="Z180" s="13"/>
    </row>
    <row r="181" ht="18.0" customHeight="1">
      <c r="A181" s="5" t="s">
        <v>1014</v>
      </c>
      <c r="B181" s="5" t="s">
        <v>435</v>
      </c>
      <c r="C181" s="5" t="s">
        <v>88</v>
      </c>
      <c r="D181" s="12">
        <v>45347.00247685185</v>
      </c>
      <c r="E181" s="12">
        <v>45347.085810185185</v>
      </c>
      <c r="F181" s="12">
        <v>45349.00247685185</v>
      </c>
      <c r="G181" s="12">
        <v>45353.00247685185</v>
      </c>
      <c r="H181" s="12">
        <v>45355.00247685185</v>
      </c>
      <c r="I181" s="5" t="s">
        <v>436</v>
      </c>
      <c r="J181" s="5" t="s">
        <v>342</v>
      </c>
      <c r="K181" s="5" t="s">
        <v>344</v>
      </c>
      <c r="L181" s="5" t="s">
        <v>154</v>
      </c>
      <c r="M181" s="5" t="s">
        <v>260</v>
      </c>
      <c r="N181" s="9" t="str">
        <f>IFERROR(VLOOKUP(I181,Customers!$B$2:$L$81,11,FALSE),"")</f>
        <v>EMP002</v>
      </c>
      <c r="O181" s="15">
        <f>SUMIF(OderItems!$A$2:$A$510,A181,OderItems!$L$2:$L$510)</f>
        <v>1202000</v>
      </c>
      <c r="P181" s="15">
        <f>SUMIF(OderItems!$A$2:$A$510,A181,OderItems!$G$2:$G$510)</f>
        <v>24000</v>
      </c>
      <c r="Q181" s="15">
        <f>SUMIF(OderItems!$A$2:$A$510,A181,OderItems!$K$2:$K$510)</f>
        <v>0</v>
      </c>
      <c r="R181" s="15">
        <f t="shared" si="1"/>
        <v>1226000</v>
      </c>
      <c r="S181" s="16" t="s">
        <v>79</v>
      </c>
      <c r="T181" s="9" t="b">
        <f t="shared" si="2"/>
        <v>1</v>
      </c>
      <c r="U181" s="13"/>
      <c r="V181" s="13"/>
      <c r="W181" s="13"/>
      <c r="X181" s="13"/>
      <c r="Y181" s="13"/>
      <c r="Z181" s="13"/>
    </row>
    <row r="182" ht="18.0" customHeight="1">
      <c r="A182" s="5" t="s">
        <v>1015</v>
      </c>
      <c r="B182" s="5" t="s">
        <v>303</v>
      </c>
      <c r="C182" s="5" t="s">
        <v>88</v>
      </c>
      <c r="D182" s="12">
        <v>46110.154270833336</v>
      </c>
      <c r="E182" s="12">
        <v>46110.237604166665</v>
      </c>
      <c r="F182" s="12">
        <v>46112.154270833336</v>
      </c>
      <c r="G182" s="12">
        <v>46116.154270833336</v>
      </c>
      <c r="H182" s="12">
        <v>46118.154270833336</v>
      </c>
      <c r="I182" s="5" t="s">
        <v>305</v>
      </c>
      <c r="J182" s="5" t="s">
        <v>100</v>
      </c>
      <c r="K182" s="5" t="s">
        <v>102</v>
      </c>
      <c r="L182" s="5" t="s">
        <v>46</v>
      </c>
      <c r="M182" s="5" t="s">
        <v>306</v>
      </c>
      <c r="N182" s="9" t="str">
        <f>IFERROR(VLOOKUP(I182,Customers!$B$2:$L$81,11,FALSE),"")</f>
        <v>EMP002</v>
      </c>
      <c r="O182" s="15">
        <f>SUMIF(OderItems!$A$2:$A$510,A182,OderItems!$L$2:$L$510)</f>
        <v>1918000</v>
      </c>
      <c r="P182" s="15">
        <f>SUMIF(OderItems!$A$2:$A$510,A182,OderItems!$G$2:$G$510)</f>
        <v>42000</v>
      </c>
      <c r="Q182" s="15">
        <f>SUMIF(OderItems!$A$2:$A$510,A182,OderItems!$K$2:$K$510)</f>
        <v>0</v>
      </c>
      <c r="R182" s="15">
        <f t="shared" si="1"/>
        <v>1960000</v>
      </c>
      <c r="S182" s="16" t="s">
        <v>79</v>
      </c>
      <c r="T182" s="9" t="b">
        <f t="shared" si="2"/>
        <v>1</v>
      </c>
      <c r="U182" s="13"/>
      <c r="V182" s="13"/>
      <c r="W182" s="13"/>
      <c r="X182" s="13"/>
      <c r="Y182" s="13"/>
      <c r="Z182" s="13"/>
    </row>
    <row r="183" ht="18.0" customHeight="1">
      <c r="A183" s="5" t="s">
        <v>1017</v>
      </c>
      <c r="B183" s="5" t="s">
        <v>403</v>
      </c>
      <c r="C183" s="5" t="s">
        <v>88</v>
      </c>
      <c r="D183" s="12">
        <v>46090.42513888889</v>
      </c>
      <c r="E183" s="12">
        <v>46090.508472222224</v>
      </c>
      <c r="F183" s="12">
        <v>46092.42513888889</v>
      </c>
      <c r="G183" s="12">
        <v>46096.42513888889</v>
      </c>
      <c r="H183" s="12">
        <v>46098.42513888889</v>
      </c>
      <c r="I183" s="5" t="s">
        <v>405</v>
      </c>
      <c r="J183" s="5" t="s">
        <v>404</v>
      </c>
      <c r="K183" s="5" t="s">
        <v>344</v>
      </c>
      <c r="L183" s="5" t="s">
        <v>74</v>
      </c>
      <c r="M183" s="5" t="s">
        <v>96</v>
      </c>
      <c r="N183" s="9" t="str">
        <f>IFERROR(VLOOKUP(I183,Customers!$B$2:$L$81,11,FALSE),"")</f>
        <v>EMP006</v>
      </c>
      <c r="O183" s="15">
        <f>SUMIF(OderItems!$A$2:$A$510,A183,OderItems!$L$2:$L$510)</f>
        <v>2568000</v>
      </c>
      <c r="P183" s="15">
        <f>SUMIF(OderItems!$A$2:$A$510,A183,OderItems!$G$2:$G$510)</f>
        <v>30000</v>
      </c>
      <c r="Q183" s="15">
        <f>SUMIF(OderItems!$A$2:$A$510,A183,OderItems!$K$2:$K$510)</f>
        <v>0</v>
      </c>
      <c r="R183" s="15">
        <f t="shared" si="1"/>
        <v>2598000</v>
      </c>
      <c r="S183" s="16" t="s">
        <v>79</v>
      </c>
      <c r="T183" s="9" t="b">
        <f t="shared" si="2"/>
        <v>1</v>
      </c>
      <c r="U183" s="13"/>
      <c r="V183" s="13"/>
      <c r="W183" s="13"/>
      <c r="X183" s="13"/>
      <c r="Y183" s="13"/>
      <c r="Z183" s="13"/>
    </row>
    <row r="184" ht="18.0" customHeight="1">
      <c r="A184" s="5" t="s">
        <v>1019</v>
      </c>
      <c r="B184" s="5" t="s">
        <v>528</v>
      </c>
      <c r="C184" s="5" t="s">
        <v>88</v>
      </c>
      <c r="D184" s="12">
        <v>46162.9425</v>
      </c>
      <c r="E184" s="12">
        <v>46163.02583333333</v>
      </c>
      <c r="F184" s="12">
        <v>46164.9425</v>
      </c>
      <c r="G184" s="12">
        <v>46168.9425</v>
      </c>
      <c r="H184" s="12">
        <v>46170.9425</v>
      </c>
      <c r="I184" s="5" t="s">
        <v>529</v>
      </c>
      <c r="J184" s="5" t="s">
        <v>471</v>
      </c>
      <c r="K184" s="5" t="s">
        <v>406</v>
      </c>
      <c r="L184" s="5" t="s">
        <v>154</v>
      </c>
      <c r="M184" s="5" t="s">
        <v>215</v>
      </c>
      <c r="N184" s="9" t="str">
        <f>IFERROR(VLOOKUP(I184,Customers!$B$2:$L$81,11,FALSE),"")</f>
        <v>EMP006</v>
      </c>
      <c r="O184" s="15">
        <f>SUMIF(OderItems!$A$2:$A$510,A184,OderItems!$L$2:$L$510)</f>
        <v>912000</v>
      </c>
      <c r="P184" s="15">
        <f>SUMIF(OderItems!$A$2:$A$510,A184,OderItems!$G$2:$G$510)</f>
        <v>9000</v>
      </c>
      <c r="Q184" s="15">
        <f>SUMIF(OderItems!$A$2:$A$510,A184,OderItems!$K$2:$K$510)</f>
        <v>0</v>
      </c>
      <c r="R184" s="15">
        <f t="shared" si="1"/>
        <v>921000</v>
      </c>
      <c r="S184" s="16" t="s">
        <v>79</v>
      </c>
      <c r="T184" s="9" t="b">
        <f t="shared" si="2"/>
        <v>1</v>
      </c>
      <c r="U184" s="13"/>
      <c r="V184" s="13"/>
      <c r="W184" s="13"/>
      <c r="X184" s="13"/>
      <c r="Y184" s="13"/>
      <c r="Z184" s="13"/>
    </row>
    <row r="185" ht="18.0" customHeight="1">
      <c r="A185" s="5" t="s">
        <v>1020</v>
      </c>
      <c r="B185" s="5" t="s">
        <v>67</v>
      </c>
      <c r="C185" s="5" t="s">
        <v>88</v>
      </c>
      <c r="D185" s="12">
        <v>46196.04546296296</v>
      </c>
      <c r="E185" s="12">
        <v>46196.128796296296</v>
      </c>
      <c r="F185" s="12">
        <v>46198.04546296296</v>
      </c>
      <c r="G185" s="12">
        <v>46202.04546296296</v>
      </c>
      <c r="H185" s="12">
        <v>46204.04546296296</v>
      </c>
      <c r="I185" s="5" t="s">
        <v>68</v>
      </c>
      <c r="J185" s="5" t="s">
        <v>404</v>
      </c>
      <c r="K185" s="5" t="s">
        <v>102</v>
      </c>
      <c r="L185" s="5" t="s">
        <v>74</v>
      </c>
      <c r="M185" s="5" t="s">
        <v>70</v>
      </c>
      <c r="N185" s="9" t="str">
        <f>IFERROR(VLOOKUP(I185,Customers!$B$2:$L$81,11,FALSE),"")</f>
        <v>EMP002</v>
      </c>
      <c r="O185" s="15">
        <f>SUMIF(OderItems!$A$2:$A$510,A185,OderItems!$L$2:$L$510)</f>
        <v>1436000</v>
      </c>
      <c r="P185" s="15">
        <f>SUMIF(OderItems!$A$2:$A$510,A185,OderItems!$G$2:$G$510)</f>
        <v>26000</v>
      </c>
      <c r="Q185" s="15">
        <f>SUMIF(OderItems!$A$2:$A$510,A185,OderItems!$K$2:$K$510)</f>
        <v>0</v>
      </c>
      <c r="R185" s="15">
        <f t="shared" si="1"/>
        <v>1462000</v>
      </c>
      <c r="S185" s="16" t="s">
        <v>79</v>
      </c>
      <c r="T185" s="9" t="b">
        <f t="shared" si="2"/>
        <v>1</v>
      </c>
      <c r="U185" s="13"/>
      <c r="V185" s="13"/>
      <c r="W185" s="13"/>
      <c r="X185" s="13"/>
      <c r="Y185" s="13"/>
      <c r="Z185" s="13"/>
    </row>
    <row r="186" ht="18.0" customHeight="1">
      <c r="A186" s="5" t="s">
        <v>1022</v>
      </c>
      <c r="B186" s="5" t="s">
        <v>106</v>
      </c>
      <c r="C186" s="5" t="s">
        <v>88</v>
      </c>
      <c r="D186" s="12">
        <v>45885.466770833336</v>
      </c>
      <c r="E186" s="12">
        <v>45885.550104166665</v>
      </c>
      <c r="F186" s="12">
        <v>45887.466770833336</v>
      </c>
      <c r="G186" s="12">
        <v>45891.466770833336</v>
      </c>
      <c r="H186" s="12">
        <v>45893.466770833336</v>
      </c>
      <c r="I186" s="5" t="s">
        <v>107</v>
      </c>
      <c r="J186" s="5" t="s">
        <v>404</v>
      </c>
      <c r="K186" s="5" t="s">
        <v>258</v>
      </c>
      <c r="L186" s="5" t="s">
        <v>74</v>
      </c>
      <c r="M186" s="5" t="s">
        <v>96</v>
      </c>
      <c r="N186" s="9" t="str">
        <f>IFERROR(VLOOKUP(I186,Customers!$B$2:$L$81,11,FALSE),"")</f>
        <v>EMP005</v>
      </c>
      <c r="O186" s="15">
        <f>SUMIF(OderItems!$A$2:$A$510,A186,OderItems!$L$2:$L$510)</f>
        <v>1180000</v>
      </c>
      <c r="P186" s="15">
        <f>SUMIF(OderItems!$A$2:$A$510,A186,OderItems!$G$2:$G$510)</f>
        <v>12000</v>
      </c>
      <c r="Q186" s="15">
        <f>SUMIF(OderItems!$A$2:$A$510,A186,OderItems!$K$2:$K$510)</f>
        <v>0</v>
      </c>
      <c r="R186" s="15">
        <f t="shared" si="1"/>
        <v>1192000</v>
      </c>
      <c r="S186" s="16" t="s">
        <v>79</v>
      </c>
      <c r="T186" s="9" t="b">
        <f t="shared" si="2"/>
        <v>1</v>
      </c>
      <c r="U186" s="13"/>
      <c r="V186" s="13"/>
      <c r="W186" s="13"/>
      <c r="X186" s="13"/>
      <c r="Y186" s="13"/>
      <c r="Z186" s="13"/>
    </row>
    <row r="187" ht="18.0" customHeight="1">
      <c r="A187" s="5" t="s">
        <v>1023</v>
      </c>
      <c r="B187" s="5" t="s">
        <v>411</v>
      </c>
      <c r="C187" s="5" t="s">
        <v>88</v>
      </c>
      <c r="D187" s="12">
        <v>45945.47982638889</v>
      </c>
      <c r="E187" s="12">
        <v>45945.563159722224</v>
      </c>
      <c r="F187" s="12">
        <v>45947.47982638889</v>
      </c>
      <c r="G187" s="12">
        <v>45951.47982638889</v>
      </c>
      <c r="H187" s="12">
        <v>45953.47982638889</v>
      </c>
      <c r="I187" s="5" t="s">
        <v>413</v>
      </c>
      <c r="J187" s="5" t="s">
        <v>342</v>
      </c>
      <c r="K187" s="5" t="s">
        <v>102</v>
      </c>
      <c r="L187" s="5" t="s">
        <v>154</v>
      </c>
      <c r="M187" s="5" t="s">
        <v>260</v>
      </c>
      <c r="N187" s="9" t="str">
        <f>IFERROR(VLOOKUP(I187,Customers!$B$2:$L$81,11,FALSE),"")</f>
        <v>EMP007</v>
      </c>
      <c r="O187" s="15">
        <f>SUMIF(OderItems!$A$2:$A$510,A187,OderItems!$L$2:$L$510)</f>
        <v>1140000</v>
      </c>
      <c r="P187" s="15">
        <f>SUMIF(OderItems!$A$2:$A$510,A187,OderItems!$G$2:$G$510)</f>
        <v>14000</v>
      </c>
      <c r="Q187" s="15">
        <f>SUMIF(OderItems!$A$2:$A$510,A187,OderItems!$K$2:$K$510)</f>
        <v>0</v>
      </c>
      <c r="R187" s="15">
        <f t="shared" si="1"/>
        <v>1154000</v>
      </c>
      <c r="S187" s="16" t="s">
        <v>79</v>
      </c>
      <c r="T187" s="9" t="b">
        <f t="shared" si="2"/>
        <v>1</v>
      </c>
      <c r="U187" s="13"/>
      <c r="V187" s="13"/>
      <c r="W187" s="13"/>
      <c r="X187" s="13"/>
      <c r="Y187" s="13"/>
      <c r="Z187" s="13"/>
    </row>
    <row r="188" ht="18.0" customHeight="1">
      <c r="A188" s="5" t="s">
        <v>1025</v>
      </c>
      <c r="B188" s="5" t="s">
        <v>451</v>
      </c>
      <c r="C188" s="5" t="s">
        <v>88</v>
      </c>
      <c r="D188" s="12">
        <v>45753.36126157407</v>
      </c>
      <c r="E188" s="12">
        <v>45753.44459490741</v>
      </c>
      <c r="F188" s="12">
        <v>45755.36126157407</v>
      </c>
      <c r="G188" s="12">
        <v>45759.36126157407</v>
      </c>
      <c r="H188" s="12">
        <v>45761.36126157407</v>
      </c>
      <c r="I188" s="5" t="s">
        <v>452</v>
      </c>
      <c r="J188" s="5" t="s">
        <v>404</v>
      </c>
      <c r="K188" s="5" t="s">
        <v>258</v>
      </c>
      <c r="L188" s="5" t="s">
        <v>74</v>
      </c>
      <c r="M188" s="5" t="s">
        <v>142</v>
      </c>
      <c r="N188" s="9" t="str">
        <f>IFERROR(VLOOKUP(I188,Customers!$B$2:$L$81,11,FALSE),"")</f>
        <v>EMP004</v>
      </c>
      <c r="O188" s="15">
        <f>SUMIF(OderItems!$A$2:$A$510,A188,OderItems!$L$2:$L$510)</f>
        <v>918000</v>
      </c>
      <c r="P188" s="15">
        <f>SUMIF(OderItems!$A$2:$A$510,A188,OderItems!$G$2:$G$510)</f>
        <v>15000</v>
      </c>
      <c r="Q188" s="15">
        <f>SUMIF(OderItems!$A$2:$A$510,A188,OderItems!$K$2:$K$510)</f>
        <v>0</v>
      </c>
      <c r="R188" s="15">
        <f t="shared" si="1"/>
        <v>933000</v>
      </c>
      <c r="S188" s="16" t="s">
        <v>79</v>
      </c>
      <c r="T188" s="9" t="b">
        <f t="shared" si="2"/>
        <v>1</v>
      </c>
      <c r="U188" s="13"/>
      <c r="V188" s="13"/>
      <c r="W188" s="13"/>
      <c r="X188" s="13"/>
      <c r="Y188" s="13"/>
      <c r="Z188" s="13"/>
    </row>
    <row r="189" ht="18.0" customHeight="1">
      <c r="A189" s="5" t="s">
        <v>1027</v>
      </c>
      <c r="B189" s="5" t="s">
        <v>188</v>
      </c>
      <c r="C189" s="5" t="s">
        <v>751</v>
      </c>
      <c r="D189" s="12">
        <v>46105.94635416667</v>
      </c>
      <c r="E189" s="12">
        <v>46106.0296875</v>
      </c>
      <c r="F189" s="18"/>
      <c r="G189" s="18"/>
      <c r="H189" s="12">
        <v>46113.94635416667</v>
      </c>
      <c r="I189" s="5" t="s">
        <v>190</v>
      </c>
      <c r="J189" s="5" t="s">
        <v>471</v>
      </c>
      <c r="K189" s="5" t="s">
        <v>344</v>
      </c>
      <c r="L189" s="5" t="s">
        <v>46</v>
      </c>
      <c r="M189" s="5" t="s">
        <v>192</v>
      </c>
      <c r="N189" s="9" t="str">
        <f>IFERROR(VLOOKUP(I189,Customers!$B$2:$L$81,11,FALSE),"")</f>
        <v>EMP006</v>
      </c>
      <c r="O189" s="15">
        <f>SUMIF(OderItems!$A$2:$A$510,A189,OderItems!$L$2:$L$510)</f>
        <v>730000</v>
      </c>
      <c r="P189" s="15">
        <f>SUMIF(OderItems!$A$2:$A$510,A189,OderItems!$G$2:$G$510)</f>
        <v>23000</v>
      </c>
      <c r="Q189" s="15">
        <f>SUMIF(OderItems!$A$2:$A$510,A189,OderItems!$K$2:$K$510)</f>
        <v>0</v>
      </c>
      <c r="R189" s="15">
        <f t="shared" si="1"/>
        <v>753000</v>
      </c>
      <c r="S189" s="16" t="s">
        <v>79</v>
      </c>
      <c r="T189" s="9" t="b">
        <f t="shared" si="2"/>
        <v>0</v>
      </c>
      <c r="U189" s="13"/>
      <c r="V189" s="13"/>
      <c r="W189" s="13"/>
      <c r="X189" s="13"/>
      <c r="Y189" s="13"/>
      <c r="Z189" s="13"/>
    </row>
    <row r="190" ht="18.0" customHeight="1">
      <c r="A190" s="5" t="s">
        <v>1028</v>
      </c>
      <c r="B190" s="5" t="s">
        <v>363</v>
      </c>
      <c r="C190" s="5" t="s">
        <v>692</v>
      </c>
      <c r="D190" s="12">
        <v>45499.873761574076</v>
      </c>
      <c r="E190" s="18"/>
      <c r="F190" s="18"/>
      <c r="G190" s="18"/>
      <c r="H190" s="12">
        <v>45507.873761574076</v>
      </c>
      <c r="I190" s="5" t="s">
        <v>364</v>
      </c>
      <c r="J190" s="5" t="s">
        <v>404</v>
      </c>
      <c r="K190" s="5" t="s">
        <v>344</v>
      </c>
      <c r="L190" s="5" t="s">
        <v>74</v>
      </c>
      <c r="M190" s="5" t="s">
        <v>142</v>
      </c>
      <c r="N190" s="9" t="str">
        <f>IFERROR(VLOOKUP(I190,Customers!$B$2:$L$81,11,FALSE),"")</f>
        <v>EMP001</v>
      </c>
      <c r="O190" s="15">
        <f>SUMIF(OderItems!$A$2:$A$510,A190,OderItems!$L$2:$L$510)</f>
        <v>700000</v>
      </c>
      <c r="P190" s="15">
        <f>SUMIF(OderItems!$A$2:$A$510,A190,OderItems!$G$2:$G$510)</f>
        <v>14000</v>
      </c>
      <c r="Q190" s="15">
        <f>SUMIF(OderItems!$A$2:$A$510,A190,OderItems!$K$2:$K$510)</f>
        <v>0</v>
      </c>
      <c r="R190" s="15">
        <f t="shared" si="1"/>
        <v>714000</v>
      </c>
      <c r="S190" s="16" t="s">
        <v>79</v>
      </c>
      <c r="T190" s="9" t="b">
        <f t="shared" si="2"/>
        <v>0</v>
      </c>
      <c r="U190" s="13"/>
      <c r="V190" s="13"/>
      <c r="W190" s="13"/>
      <c r="X190" s="13"/>
      <c r="Y190" s="13"/>
      <c r="Z190" s="13"/>
    </row>
    <row r="191" ht="18.0" customHeight="1">
      <c r="A191" s="5" t="s">
        <v>1030</v>
      </c>
      <c r="B191" s="5" t="s">
        <v>255</v>
      </c>
      <c r="C191" s="5" t="s">
        <v>88</v>
      </c>
      <c r="D191" s="12">
        <v>45846.1846875</v>
      </c>
      <c r="E191" s="12">
        <v>45846.26802083333</v>
      </c>
      <c r="F191" s="12">
        <v>45848.1846875</v>
      </c>
      <c r="G191" s="12">
        <v>45852.1846875</v>
      </c>
      <c r="H191" s="12">
        <v>45854.1846875</v>
      </c>
      <c r="I191" s="5" t="s">
        <v>256</v>
      </c>
      <c r="J191" s="5" t="s">
        <v>471</v>
      </c>
      <c r="K191" s="5" t="s">
        <v>102</v>
      </c>
      <c r="L191" s="5" t="s">
        <v>154</v>
      </c>
      <c r="M191" s="5" t="s">
        <v>215</v>
      </c>
      <c r="N191" s="9" t="str">
        <f>IFERROR(VLOOKUP(I191,Customers!$B$2:$L$81,11,FALSE),"")</f>
        <v>EMP005</v>
      </c>
      <c r="O191" s="15">
        <f>SUMIF(OderItems!$A$2:$A$510,A191,OderItems!$L$2:$L$510)</f>
        <v>3160000</v>
      </c>
      <c r="P191" s="15">
        <f>SUMIF(OderItems!$A$2:$A$510,A191,OderItems!$G$2:$G$510)</f>
        <v>40000</v>
      </c>
      <c r="Q191" s="15">
        <f>SUMIF(OderItems!$A$2:$A$510,A191,OderItems!$K$2:$K$510)</f>
        <v>0</v>
      </c>
      <c r="R191" s="15">
        <f t="shared" si="1"/>
        <v>3200000</v>
      </c>
      <c r="S191" s="16" t="s">
        <v>79</v>
      </c>
      <c r="T191" s="9" t="b">
        <f t="shared" si="2"/>
        <v>1</v>
      </c>
      <c r="U191" s="13"/>
      <c r="V191" s="13"/>
      <c r="W191" s="13"/>
      <c r="X191" s="13"/>
      <c r="Y191" s="13"/>
      <c r="Z191" s="13"/>
    </row>
    <row r="192" ht="18.0" customHeight="1">
      <c r="A192" s="5" t="s">
        <v>1031</v>
      </c>
      <c r="B192" s="5" t="s">
        <v>303</v>
      </c>
      <c r="C192" s="5" t="s">
        <v>88</v>
      </c>
      <c r="D192" s="12">
        <v>46156.78986111111</v>
      </c>
      <c r="E192" s="12">
        <v>46156.873194444444</v>
      </c>
      <c r="F192" s="12">
        <v>46158.78986111111</v>
      </c>
      <c r="G192" s="12">
        <v>46162.78986111111</v>
      </c>
      <c r="H192" s="12">
        <v>46164.78986111111</v>
      </c>
      <c r="I192" s="5" t="s">
        <v>305</v>
      </c>
      <c r="J192" s="5" t="s">
        <v>342</v>
      </c>
      <c r="K192" s="5" t="s">
        <v>406</v>
      </c>
      <c r="L192" s="5" t="s">
        <v>46</v>
      </c>
      <c r="M192" s="5" t="s">
        <v>306</v>
      </c>
      <c r="N192" s="9" t="str">
        <f>IFERROR(VLOOKUP(I192,Customers!$B$2:$L$81,11,FALSE),"")</f>
        <v>EMP002</v>
      </c>
      <c r="O192" s="15">
        <f>SUMIF(OderItems!$A$2:$A$510,A192,OderItems!$L$2:$L$510)</f>
        <v>2168000</v>
      </c>
      <c r="P192" s="15">
        <f>SUMIF(OderItems!$A$2:$A$510,A192,OderItems!$G$2:$G$510)</f>
        <v>53000</v>
      </c>
      <c r="Q192" s="15">
        <f>SUMIF(OderItems!$A$2:$A$510,A192,OderItems!$K$2:$K$510)</f>
        <v>0</v>
      </c>
      <c r="R192" s="15">
        <f t="shared" si="1"/>
        <v>2221000</v>
      </c>
      <c r="S192" s="16" t="s">
        <v>79</v>
      </c>
      <c r="T192" s="9" t="b">
        <f t="shared" si="2"/>
        <v>1</v>
      </c>
      <c r="U192" s="13"/>
      <c r="V192" s="13"/>
      <c r="W192" s="13"/>
      <c r="X192" s="13"/>
      <c r="Y192" s="13"/>
      <c r="Z192" s="13"/>
    </row>
    <row r="193" ht="18.0" customHeight="1">
      <c r="A193" s="5" t="s">
        <v>1033</v>
      </c>
      <c r="B193" s="5" t="s">
        <v>212</v>
      </c>
      <c r="C193" s="5" t="s">
        <v>88</v>
      </c>
      <c r="D193" s="12">
        <v>45862.52576388889</v>
      </c>
      <c r="E193" s="12">
        <v>45862.60909722222</v>
      </c>
      <c r="F193" s="12">
        <v>45864.52576388889</v>
      </c>
      <c r="G193" s="12">
        <v>45868.52576388889</v>
      </c>
      <c r="H193" s="12">
        <v>45870.52576388889</v>
      </c>
      <c r="I193" s="5" t="s">
        <v>213</v>
      </c>
      <c r="J193" s="5" t="s">
        <v>404</v>
      </c>
      <c r="K193" s="5" t="s">
        <v>258</v>
      </c>
      <c r="L193" s="5" t="s">
        <v>154</v>
      </c>
      <c r="M193" s="5" t="s">
        <v>215</v>
      </c>
      <c r="N193" s="9" t="str">
        <f>IFERROR(VLOOKUP(I193,Customers!$B$2:$L$81,11,FALSE),"")</f>
        <v>EMP008</v>
      </c>
      <c r="O193" s="15">
        <f>SUMIF(OderItems!$A$2:$A$510,A193,OderItems!$L$2:$L$510)</f>
        <v>2823000</v>
      </c>
      <c r="P193" s="15">
        <f>SUMIF(OderItems!$A$2:$A$510,A193,OderItems!$G$2:$G$510)</f>
        <v>35000</v>
      </c>
      <c r="Q193" s="15">
        <f>SUMIF(OderItems!$A$2:$A$510,A193,OderItems!$K$2:$K$510)</f>
        <v>0</v>
      </c>
      <c r="R193" s="15">
        <f t="shared" si="1"/>
        <v>2858000</v>
      </c>
      <c r="S193" s="16" t="s">
        <v>79</v>
      </c>
      <c r="T193" s="9" t="b">
        <f t="shared" si="2"/>
        <v>1</v>
      </c>
      <c r="U193" s="13"/>
      <c r="V193" s="13"/>
      <c r="W193" s="13"/>
      <c r="X193" s="13"/>
      <c r="Y193" s="13"/>
      <c r="Z193" s="13"/>
    </row>
    <row r="194" ht="18.0" customHeight="1">
      <c r="A194" s="5" t="s">
        <v>1035</v>
      </c>
      <c r="B194" s="5" t="s">
        <v>338</v>
      </c>
      <c r="C194" s="5" t="s">
        <v>88</v>
      </c>
      <c r="D194" s="12">
        <v>46010.68784722222</v>
      </c>
      <c r="E194" s="12">
        <v>46010.77118055556</v>
      </c>
      <c r="F194" s="12">
        <v>46012.68784722222</v>
      </c>
      <c r="G194" s="12">
        <v>46016.68784722222</v>
      </c>
      <c r="H194" s="12">
        <v>46018.68784722222</v>
      </c>
      <c r="I194" s="5" t="s">
        <v>339</v>
      </c>
      <c r="J194" s="5" t="s">
        <v>342</v>
      </c>
      <c r="K194" s="5" t="s">
        <v>406</v>
      </c>
      <c r="L194" s="5" t="s">
        <v>74</v>
      </c>
      <c r="M194" s="5" t="s">
        <v>287</v>
      </c>
      <c r="N194" s="9" t="str">
        <f>IFERROR(VLOOKUP(I194,Customers!$B$2:$L$81,11,FALSE),"")</f>
        <v>EMP006</v>
      </c>
      <c r="O194" s="15">
        <f>SUMIF(OderItems!$A$2:$A$510,A194,OderItems!$L$2:$L$510)</f>
        <v>2160000</v>
      </c>
      <c r="P194" s="15">
        <f>SUMIF(OderItems!$A$2:$A$510,A194,OderItems!$G$2:$G$510)</f>
        <v>28000</v>
      </c>
      <c r="Q194" s="15">
        <f>SUMIF(OderItems!$A$2:$A$510,A194,OderItems!$K$2:$K$510)</f>
        <v>0</v>
      </c>
      <c r="R194" s="15">
        <f t="shared" si="1"/>
        <v>2188000</v>
      </c>
      <c r="S194" s="16" t="s">
        <v>79</v>
      </c>
      <c r="T194" s="9" t="b">
        <f t="shared" si="2"/>
        <v>1</v>
      </c>
      <c r="U194" s="13"/>
      <c r="V194" s="13"/>
      <c r="W194" s="13"/>
      <c r="X194" s="13"/>
      <c r="Y194" s="13"/>
      <c r="Z194" s="13"/>
    </row>
    <row r="195" ht="18.0" customHeight="1">
      <c r="A195" s="5" t="s">
        <v>1036</v>
      </c>
      <c r="B195" s="5" t="s">
        <v>519</v>
      </c>
      <c r="C195" s="5" t="s">
        <v>759</v>
      </c>
      <c r="D195" s="12">
        <v>45640.221817129626</v>
      </c>
      <c r="E195" s="12">
        <v>45640.30515046296</v>
      </c>
      <c r="F195" s="12">
        <v>45642.221817129626</v>
      </c>
      <c r="G195" s="12">
        <v>45646.221817129626</v>
      </c>
      <c r="H195" s="12">
        <v>45648.221817129626</v>
      </c>
      <c r="I195" s="5" t="s">
        <v>520</v>
      </c>
      <c r="J195" s="5" t="s">
        <v>404</v>
      </c>
      <c r="K195" s="5" t="s">
        <v>344</v>
      </c>
      <c r="L195" s="5" t="s">
        <v>46</v>
      </c>
      <c r="M195" s="5" t="s">
        <v>192</v>
      </c>
      <c r="N195" s="9" t="str">
        <f>IFERROR(VLOOKUP(I195,Customers!$B$2:$L$81,11,FALSE),"")</f>
        <v>EMP005</v>
      </c>
      <c r="O195" s="15">
        <f>SUMIF(OderItems!$A$2:$A$510,A195,OderItems!$L$2:$L$510)</f>
        <v>194000</v>
      </c>
      <c r="P195" s="15">
        <f>SUMIF(OderItems!$A$2:$A$510,A195,OderItems!$G$2:$G$510)</f>
        <v>12000</v>
      </c>
      <c r="Q195" s="15">
        <f>SUMIF(OderItems!$A$2:$A$510,A195,OderItems!$K$2:$K$510)</f>
        <v>0</v>
      </c>
      <c r="R195" s="15">
        <f t="shared" si="1"/>
        <v>206000</v>
      </c>
      <c r="S195" s="16" t="s">
        <v>79</v>
      </c>
      <c r="T195" s="9" t="b">
        <f t="shared" si="2"/>
        <v>0</v>
      </c>
      <c r="U195" s="13"/>
      <c r="V195" s="13"/>
      <c r="W195" s="13"/>
      <c r="X195" s="13"/>
      <c r="Y195" s="13"/>
      <c r="Z195" s="13"/>
    </row>
    <row r="196" ht="18.0" customHeight="1">
      <c r="A196" s="5" t="s">
        <v>1038</v>
      </c>
      <c r="B196" s="5" t="s">
        <v>276</v>
      </c>
      <c r="C196" s="5" t="s">
        <v>88</v>
      </c>
      <c r="D196" s="12">
        <v>45582.13155092593</v>
      </c>
      <c r="E196" s="12">
        <v>45582.21488425926</v>
      </c>
      <c r="F196" s="12">
        <v>45584.13155092593</v>
      </c>
      <c r="G196" s="12">
        <v>45588.13155092593</v>
      </c>
      <c r="H196" s="12">
        <v>45590.13155092593</v>
      </c>
      <c r="I196" s="5" t="s">
        <v>277</v>
      </c>
      <c r="J196" s="5" t="s">
        <v>342</v>
      </c>
      <c r="K196" s="5" t="s">
        <v>344</v>
      </c>
      <c r="L196" s="5" t="s">
        <v>154</v>
      </c>
      <c r="M196" s="5" t="s">
        <v>202</v>
      </c>
      <c r="N196" s="9" t="str">
        <f>IFERROR(VLOOKUP(I196,Customers!$B$2:$L$81,11,FALSE),"")</f>
        <v>EMP007</v>
      </c>
      <c r="O196" s="15">
        <f>SUMIF(OderItems!$A$2:$A$510,A196,OderItems!$L$2:$L$510)</f>
        <v>2170000</v>
      </c>
      <c r="P196" s="15">
        <f>SUMIF(OderItems!$A$2:$A$510,A196,OderItems!$G$2:$G$510)</f>
        <v>32000</v>
      </c>
      <c r="Q196" s="15">
        <f>SUMIF(OderItems!$A$2:$A$510,A196,OderItems!$K$2:$K$510)</f>
        <v>0</v>
      </c>
      <c r="R196" s="15">
        <f t="shared" si="1"/>
        <v>2202000</v>
      </c>
      <c r="S196" s="16" t="s">
        <v>79</v>
      </c>
      <c r="T196" s="9" t="b">
        <f t="shared" si="2"/>
        <v>1</v>
      </c>
      <c r="U196" s="13"/>
      <c r="V196" s="13"/>
      <c r="W196" s="13"/>
      <c r="X196" s="13"/>
      <c r="Y196" s="13"/>
      <c r="Z196" s="13"/>
    </row>
    <row r="197" ht="18.0" customHeight="1">
      <c r="A197" s="5" t="s">
        <v>1040</v>
      </c>
      <c r="B197" s="5" t="s">
        <v>247</v>
      </c>
      <c r="C197" s="5" t="s">
        <v>88</v>
      </c>
      <c r="D197" s="12">
        <v>46173.70755787037</v>
      </c>
      <c r="E197" s="12">
        <v>46173.7908912037</v>
      </c>
      <c r="F197" s="12">
        <v>46175.70755787037</v>
      </c>
      <c r="G197" s="12">
        <v>46179.70755787037</v>
      </c>
      <c r="H197" s="12">
        <v>46181.70755787037</v>
      </c>
      <c r="I197" s="5" t="s">
        <v>254</v>
      </c>
      <c r="J197" s="5" t="s">
        <v>342</v>
      </c>
      <c r="K197" s="5" t="s">
        <v>258</v>
      </c>
      <c r="L197" s="5" t="s">
        <v>154</v>
      </c>
      <c r="M197" s="5" t="s">
        <v>260</v>
      </c>
      <c r="N197" s="9" t="str">
        <f>IFERROR(VLOOKUP(I197,Customers!$B$2:$L$81,11,FALSE),"")</f>
        <v>EMP008</v>
      </c>
      <c r="O197" s="15">
        <f>SUMIF(OderItems!$A$2:$A$510,A197,OderItems!$L$2:$L$510)</f>
        <v>1175000</v>
      </c>
      <c r="P197" s="15">
        <f>SUMIF(OderItems!$A$2:$A$510,A197,OderItems!$G$2:$G$510)</f>
        <v>20000</v>
      </c>
      <c r="Q197" s="15">
        <f>SUMIF(OderItems!$A$2:$A$510,A197,OderItems!$K$2:$K$510)</f>
        <v>0</v>
      </c>
      <c r="R197" s="15">
        <f t="shared" si="1"/>
        <v>1195000</v>
      </c>
      <c r="S197" s="16" t="s">
        <v>79</v>
      </c>
      <c r="T197" s="9" t="b">
        <f t="shared" si="2"/>
        <v>1</v>
      </c>
      <c r="U197" s="13"/>
      <c r="V197" s="13"/>
      <c r="W197" s="13"/>
      <c r="X197" s="13"/>
      <c r="Y197" s="13"/>
      <c r="Z197" s="13"/>
    </row>
    <row r="198" ht="18.0" customHeight="1">
      <c r="A198" s="5" t="s">
        <v>1041</v>
      </c>
      <c r="B198" s="5" t="s">
        <v>519</v>
      </c>
      <c r="C198" s="5" t="s">
        <v>88</v>
      </c>
      <c r="D198" s="12">
        <v>46006.87165509259</v>
      </c>
      <c r="E198" s="12">
        <v>46006.954988425925</v>
      </c>
      <c r="F198" s="12">
        <v>46008.87165509259</v>
      </c>
      <c r="G198" s="12">
        <v>46012.87165509259</v>
      </c>
      <c r="H198" s="12">
        <v>46014.87165509259</v>
      </c>
      <c r="I198" s="5" t="s">
        <v>520</v>
      </c>
      <c r="J198" s="5" t="s">
        <v>471</v>
      </c>
      <c r="K198" s="5" t="s">
        <v>102</v>
      </c>
      <c r="L198" s="5" t="s">
        <v>46</v>
      </c>
      <c r="M198" s="5" t="s">
        <v>192</v>
      </c>
      <c r="N198" s="9" t="str">
        <f>IFERROR(VLOOKUP(I198,Customers!$B$2:$L$81,11,FALSE),"")</f>
        <v>EMP005</v>
      </c>
      <c r="O198" s="15">
        <f>SUMIF(OderItems!$A$2:$A$510,A198,OderItems!$L$2:$L$510)</f>
        <v>180000</v>
      </c>
      <c r="P198" s="15">
        <f>SUMIF(OderItems!$A$2:$A$510,A198,OderItems!$G$2:$G$510)</f>
        <v>11000</v>
      </c>
      <c r="Q198" s="15">
        <f>SUMIF(OderItems!$A$2:$A$510,A198,OderItems!$K$2:$K$510)</f>
        <v>0</v>
      </c>
      <c r="R198" s="15">
        <f t="shared" si="1"/>
        <v>191000</v>
      </c>
      <c r="S198" s="16" t="s">
        <v>79</v>
      </c>
      <c r="T198" s="9" t="b">
        <f t="shared" si="2"/>
        <v>1</v>
      </c>
      <c r="U198" s="13"/>
      <c r="V198" s="13"/>
      <c r="W198" s="13"/>
      <c r="X198" s="13"/>
      <c r="Y198" s="13"/>
      <c r="Z198" s="13"/>
    </row>
    <row r="199" ht="18.0" customHeight="1">
      <c r="A199" s="5" t="s">
        <v>1043</v>
      </c>
      <c r="B199" s="5" t="s">
        <v>314</v>
      </c>
      <c r="C199" s="5" t="s">
        <v>88</v>
      </c>
      <c r="D199" s="12">
        <v>45852.476331018515</v>
      </c>
      <c r="E199" s="12">
        <v>45852.55966435185</v>
      </c>
      <c r="F199" s="12">
        <v>45854.476331018515</v>
      </c>
      <c r="G199" s="12">
        <v>45858.476331018515</v>
      </c>
      <c r="H199" s="12">
        <v>45860.476331018515</v>
      </c>
      <c r="I199" s="5" t="s">
        <v>315</v>
      </c>
      <c r="J199" s="5" t="s">
        <v>404</v>
      </c>
      <c r="K199" s="5" t="s">
        <v>344</v>
      </c>
      <c r="L199" s="5" t="s">
        <v>154</v>
      </c>
      <c r="M199" s="5" t="s">
        <v>268</v>
      </c>
      <c r="N199" s="9" t="str">
        <f>IFERROR(VLOOKUP(I199,Customers!$B$2:$L$81,11,FALSE),"")</f>
        <v>EMP003</v>
      </c>
      <c r="O199" s="15">
        <f>SUMIF(OderItems!$A$2:$A$510,A199,OderItems!$L$2:$L$510)</f>
        <v>285000</v>
      </c>
      <c r="P199" s="15">
        <f>SUMIF(OderItems!$A$2:$A$510,A199,OderItems!$G$2:$G$510)</f>
        <v>3000</v>
      </c>
      <c r="Q199" s="15">
        <f>SUMIF(OderItems!$A$2:$A$510,A199,OderItems!$K$2:$K$510)</f>
        <v>0</v>
      </c>
      <c r="R199" s="15">
        <f t="shared" si="1"/>
        <v>288000</v>
      </c>
      <c r="S199" s="16" t="s">
        <v>79</v>
      </c>
      <c r="T199" s="9" t="b">
        <f t="shared" si="2"/>
        <v>1</v>
      </c>
      <c r="U199" s="13"/>
      <c r="V199" s="13"/>
      <c r="W199" s="13"/>
      <c r="X199" s="13"/>
      <c r="Y199" s="13"/>
      <c r="Z199" s="13"/>
    </row>
    <row r="200" ht="18.0" customHeight="1">
      <c r="A200" s="5" t="s">
        <v>1045</v>
      </c>
      <c r="B200" s="5" t="s">
        <v>559</v>
      </c>
      <c r="C200" s="5" t="s">
        <v>88</v>
      </c>
      <c r="D200" s="12">
        <v>45720.137395833335</v>
      </c>
      <c r="E200" s="12">
        <v>45720.220729166664</v>
      </c>
      <c r="F200" s="12">
        <v>45722.137395833335</v>
      </c>
      <c r="G200" s="12">
        <v>45726.137395833335</v>
      </c>
      <c r="H200" s="12">
        <v>45728.137395833335</v>
      </c>
      <c r="I200" s="5" t="s">
        <v>560</v>
      </c>
      <c r="J200" s="5" t="s">
        <v>471</v>
      </c>
      <c r="K200" s="5" t="s">
        <v>406</v>
      </c>
      <c r="L200" s="5" t="s">
        <v>74</v>
      </c>
      <c r="M200" s="5" t="s">
        <v>287</v>
      </c>
      <c r="N200" s="9" t="str">
        <f>IFERROR(VLOOKUP(I200,Customers!$B$2:$L$81,11,FALSE),"")</f>
        <v>EMP003</v>
      </c>
      <c r="O200" s="15">
        <f>SUMIF(OderItems!$A$2:$A$510,A200,OderItems!$L$2:$L$510)</f>
        <v>2409000</v>
      </c>
      <c r="P200" s="15">
        <f>SUMIF(OderItems!$A$2:$A$510,A200,OderItems!$G$2:$G$510)</f>
        <v>43000</v>
      </c>
      <c r="Q200" s="15">
        <f>SUMIF(OderItems!$A$2:$A$510,A200,OderItems!$K$2:$K$510)</f>
        <v>0</v>
      </c>
      <c r="R200" s="15">
        <f t="shared" si="1"/>
        <v>2452000</v>
      </c>
      <c r="S200" s="16" t="s">
        <v>79</v>
      </c>
      <c r="T200" s="9" t="b">
        <f t="shared" si="2"/>
        <v>1</v>
      </c>
      <c r="U200" s="13"/>
      <c r="V200" s="13"/>
      <c r="W200" s="13"/>
      <c r="X200" s="13"/>
      <c r="Y200" s="13"/>
      <c r="Z200" s="13"/>
    </row>
    <row r="201" ht="18.0" customHeight="1">
      <c r="A201" s="5" t="s">
        <v>1046</v>
      </c>
      <c r="B201" s="5" t="s">
        <v>357</v>
      </c>
      <c r="C201" s="5" t="s">
        <v>88</v>
      </c>
      <c r="D201" s="12">
        <v>45528.98747685185</v>
      </c>
      <c r="E201" s="12">
        <v>45529.070810185185</v>
      </c>
      <c r="F201" s="12">
        <v>45530.98747685185</v>
      </c>
      <c r="G201" s="12">
        <v>45534.98747685185</v>
      </c>
      <c r="H201" s="12">
        <v>45536.98747685185</v>
      </c>
      <c r="I201" s="5" t="s">
        <v>358</v>
      </c>
      <c r="J201" s="5" t="s">
        <v>404</v>
      </c>
      <c r="K201" s="5" t="s">
        <v>344</v>
      </c>
      <c r="L201" s="5" t="s">
        <v>154</v>
      </c>
      <c r="M201" s="5" t="s">
        <v>151</v>
      </c>
      <c r="N201" s="9" t="str">
        <f>IFERROR(VLOOKUP(I201,Customers!$B$2:$L$81,11,FALSE),"")</f>
        <v>EMP008</v>
      </c>
      <c r="O201" s="15">
        <f>SUMIF(OderItems!$A$2:$A$510,A201,OderItems!$L$2:$L$510)</f>
        <v>1921000</v>
      </c>
      <c r="P201" s="15">
        <f>SUMIF(OderItems!$A$2:$A$510,A201,OderItems!$G$2:$G$510)</f>
        <v>31000</v>
      </c>
      <c r="Q201" s="15">
        <f>SUMIF(OderItems!$A$2:$A$510,A201,OderItems!$K$2:$K$510)</f>
        <v>0</v>
      </c>
      <c r="R201" s="15">
        <f t="shared" si="1"/>
        <v>1952000</v>
      </c>
      <c r="S201" s="16" t="s">
        <v>79</v>
      </c>
      <c r="T201" s="9" t="b">
        <f t="shared" si="2"/>
        <v>1</v>
      </c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autoFilter ref="$A$1:$T$20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82C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11.25"/>
    <col customWidth="1" min="3" max="3" width="11.13"/>
    <col customWidth="1" min="4" max="4" width="9.5"/>
    <col customWidth="1" min="5" max="5" width="16.25"/>
    <col customWidth="1" min="6" max="6" width="8.13"/>
    <col customWidth="1" min="7" max="7" width="11.13"/>
    <col customWidth="1" min="8" max="8" width="7.75"/>
    <col customWidth="1" min="9" max="9" width="9.88"/>
    <col customWidth="1" min="10" max="10" width="12.25"/>
    <col customWidth="1" min="11" max="11" width="12.63"/>
    <col customWidth="1" min="12" max="12" width="12.38"/>
    <col customWidth="1" min="13" max="13" width="10.25"/>
  </cols>
  <sheetData>
    <row r="1" ht="27.0" customHeight="1">
      <c r="A1" s="1" t="s">
        <v>26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37</v>
      </c>
      <c r="G1" s="1" t="s">
        <v>40</v>
      </c>
      <c r="H1" s="1" t="s">
        <v>44</v>
      </c>
      <c r="I1" s="1" t="s">
        <v>48</v>
      </c>
      <c r="J1" s="1" t="s">
        <v>51</v>
      </c>
      <c r="K1" s="1" t="s">
        <v>54</v>
      </c>
      <c r="L1" s="1" t="s">
        <v>56</v>
      </c>
      <c r="M1" s="1" t="s">
        <v>58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 t="s">
        <v>73</v>
      </c>
      <c r="B2" s="6">
        <v>1.0</v>
      </c>
      <c r="C2" s="5" t="s">
        <v>80</v>
      </c>
      <c r="D2" s="5" t="s">
        <v>81</v>
      </c>
      <c r="E2" s="12">
        <v>45906.81335648148</v>
      </c>
      <c r="F2" s="14">
        <v>420000.0</v>
      </c>
      <c r="G2" s="14">
        <v>13000.0</v>
      </c>
      <c r="H2" s="6">
        <v>2.0</v>
      </c>
      <c r="I2" s="14">
        <v>840000.0</v>
      </c>
      <c r="J2" s="5" t="s">
        <v>98</v>
      </c>
      <c r="K2" s="15">
        <f t="shared" ref="K2:K510" si="1">0</f>
        <v>0</v>
      </c>
      <c r="L2" s="15">
        <f t="shared" ref="L2:L510" si="2">F2*H2</f>
        <v>840000</v>
      </c>
      <c r="M2" s="15">
        <f t="shared" ref="M2:M510" si="3">L2+G2-K2</f>
        <v>853000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8.0" customHeight="1">
      <c r="A3" s="5" t="s">
        <v>73</v>
      </c>
      <c r="B3" s="6">
        <v>2.0</v>
      </c>
      <c r="C3" s="5" t="s">
        <v>122</v>
      </c>
      <c r="D3" s="5" t="s">
        <v>156</v>
      </c>
      <c r="E3" s="12">
        <v>45906.81335648148</v>
      </c>
      <c r="F3" s="14">
        <v>390000.0</v>
      </c>
      <c r="G3" s="14">
        <v>16000.0</v>
      </c>
      <c r="H3" s="6">
        <v>4.0</v>
      </c>
      <c r="I3" s="14">
        <v>1560000.0</v>
      </c>
      <c r="J3" s="5" t="s">
        <v>160</v>
      </c>
      <c r="K3" s="15">
        <f t="shared" si="1"/>
        <v>0</v>
      </c>
      <c r="L3" s="15">
        <f t="shared" si="2"/>
        <v>1560000</v>
      </c>
      <c r="M3" s="15">
        <f t="shared" si="3"/>
        <v>1576000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8.0" customHeight="1">
      <c r="A4" s="5" t="s">
        <v>73</v>
      </c>
      <c r="B4" s="6">
        <v>3.0</v>
      </c>
      <c r="C4" s="5" t="s">
        <v>175</v>
      </c>
      <c r="D4" s="5" t="s">
        <v>178</v>
      </c>
      <c r="E4" s="12">
        <v>45906.81335648148</v>
      </c>
      <c r="F4" s="14">
        <v>142000.0</v>
      </c>
      <c r="G4" s="14">
        <v>7000.0</v>
      </c>
      <c r="H4" s="6">
        <v>2.0</v>
      </c>
      <c r="I4" s="14">
        <v>284000.0</v>
      </c>
      <c r="J4" s="5" t="s">
        <v>179</v>
      </c>
      <c r="K4" s="15">
        <f t="shared" si="1"/>
        <v>0</v>
      </c>
      <c r="L4" s="15">
        <f t="shared" si="2"/>
        <v>284000</v>
      </c>
      <c r="M4" s="15">
        <f t="shared" si="3"/>
        <v>291000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8.0" customHeight="1">
      <c r="A5" s="5" t="s">
        <v>73</v>
      </c>
      <c r="B5" s="6">
        <v>4.0</v>
      </c>
      <c r="C5" s="5" t="s">
        <v>189</v>
      </c>
      <c r="D5" s="5" t="s">
        <v>191</v>
      </c>
      <c r="E5" s="12">
        <v>45906.81335648148</v>
      </c>
      <c r="F5" s="14">
        <v>350000.0</v>
      </c>
      <c r="G5" s="14">
        <v>21000.0</v>
      </c>
      <c r="H5" s="6">
        <v>2.0</v>
      </c>
      <c r="I5" s="14">
        <v>700000.0</v>
      </c>
      <c r="J5" s="5" t="s">
        <v>193</v>
      </c>
      <c r="K5" s="15">
        <f t="shared" si="1"/>
        <v>0</v>
      </c>
      <c r="L5" s="15">
        <f t="shared" si="2"/>
        <v>700000</v>
      </c>
      <c r="M5" s="15">
        <f t="shared" si="3"/>
        <v>721000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8.0" customHeight="1">
      <c r="A6" s="5" t="s">
        <v>208</v>
      </c>
      <c r="B6" s="6">
        <v>1.0</v>
      </c>
      <c r="C6" s="5" t="s">
        <v>189</v>
      </c>
      <c r="D6" s="5" t="s">
        <v>191</v>
      </c>
      <c r="E6" s="12">
        <v>46137.271516203706</v>
      </c>
      <c r="F6" s="14">
        <v>350000.0</v>
      </c>
      <c r="G6" s="14">
        <v>11000.0</v>
      </c>
      <c r="H6" s="6">
        <v>3.0</v>
      </c>
      <c r="I6" s="14">
        <v>1050000.0</v>
      </c>
      <c r="J6" s="5" t="s">
        <v>211</v>
      </c>
      <c r="K6" s="15">
        <f t="shared" si="1"/>
        <v>0</v>
      </c>
      <c r="L6" s="15">
        <f t="shared" si="2"/>
        <v>1050000</v>
      </c>
      <c r="M6" s="15">
        <f t="shared" si="3"/>
        <v>1061000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8.0" customHeight="1">
      <c r="A7" s="5" t="s">
        <v>208</v>
      </c>
      <c r="B7" s="6">
        <v>2.0</v>
      </c>
      <c r="C7" s="5" t="s">
        <v>184</v>
      </c>
      <c r="D7" s="5" t="s">
        <v>227</v>
      </c>
      <c r="E7" s="12">
        <v>46137.271516203706</v>
      </c>
      <c r="F7" s="14">
        <v>266000.0</v>
      </c>
      <c r="G7" s="14">
        <v>11000.0</v>
      </c>
      <c r="H7" s="6">
        <v>3.0</v>
      </c>
      <c r="I7" s="14">
        <v>798000.0</v>
      </c>
      <c r="J7" s="5" t="s">
        <v>230</v>
      </c>
      <c r="K7" s="15">
        <f t="shared" si="1"/>
        <v>0</v>
      </c>
      <c r="L7" s="15">
        <f t="shared" si="2"/>
        <v>798000</v>
      </c>
      <c r="M7" s="15">
        <f t="shared" si="3"/>
        <v>809000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8.0" customHeight="1">
      <c r="A8" s="5" t="s">
        <v>208</v>
      </c>
      <c r="B8" s="6">
        <v>3.0</v>
      </c>
      <c r="C8" s="5" t="s">
        <v>241</v>
      </c>
      <c r="D8" s="5" t="s">
        <v>243</v>
      </c>
      <c r="E8" s="12">
        <v>46137.271516203706</v>
      </c>
      <c r="F8" s="14">
        <v>126000.0</v>
      </c>
      <c r="G8" s="14">
        <v>6000.0</v>
      </c>
      <c r="H8" s="6">
        <v>3.0</v>
      </c>
      <c r="I8" s="14">
        <v>378000.0</v>
      </c>
      <c r="J8" s="5" t="s">
        <v>248</v>
      </c>
      <c r="K8" s="15">
        <f t="shared" si="1"/>
        <v>0</v>
      </c>
      <c r="L8" s="15">
        <f t="shared" si="2"/>
        <v>378000</v>
      </c>
      <c r="M8" s="15">
        <f t="shared" si="3"/>
        <v>384000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8.0" customHeight="1">
      <c r="A9" s="5" t="s">
        <v>208</v>
      </c>
      <c r="B9" s="6">
        <v>4.0</v>
      </c>
      <c r="C9" s="5" t="s">
        <v>264</v>
      </c>
      <c r="D9" s="5" t="s">
        <v>266</v>
      </c>
      <c r="E9" s="12">
        <v>46137.271516203706</v>
      </c>
      <c r="F9" s="14">
        <v>290000.0</v>
      </c>
      <c r="G9" s="14">
        <v>17000.0</v>
      </c>
      <c r="H9" s="6">
        <v>2.0</v>
      </c>
      <c r="I9" s="14">
        <v>580000.0</v>
      </c>
      <c r="J9" s="5" t="s">
        <v>272</v>
      </c>
      <c r="K9" s="15">
        <f t="shared" si="1"/>
        <v>0</v>
      </c>
      <c r="L9" s="15">
        <f t="shared" si="2"/>
        <v>580000</v>
      </c>
      <c r="M9" s="15">
        <f t="shared" si="3"/>
        <v>597000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.0" customHeight="1">
      <c r="A10" s="5" t="s">
        <v>282</v>
      </c>
      <c r="B10" s="6">
        <v>1.0</v>
      </c>
      <c r="C10" s="5" t="s">
        <v>283</v>
      </c>
      <c r="D10" s="5" t="s">
        <v>286</v>
      </c>
      <c r="E10" s="12">
        <v>45806.919386574074</v>
      </c>
      <c r="F10" s="14">
        <v>89000.0</v>
      </c>
      <c r="G10" s="14">
        <v>3000.0</v>
      </c>
      <c r="H10" s="6">
        <v>2.0</v>
      </c>
      <c r="I10" s="14">
        <v>178000.0</v>
      </c>
      <c r="J10" s="5" t="s">
        <v>292</v>
      </c>
      <c r="K10" s="15">
        <f t="shared" si="1"/>
        <v>0</v>
      </c>
      <c r="L10" s="15">
        <f t="shared" si="2"/>
        <v>178000</v>
      </c>
      <c r="M10" s="15">
        <f t="shared" si="3"/>
        <v>181000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.0" customHeight="1">
      <c r="A11" s="5" t="s">
        <v>282</v>
      </c>
      <c r="B11" s="6">
        <v>2.0</v>
      </c>
      <c r="C11" s="5" t="s">
        <v>112</v>
      </c>
      <c r="D11" s="5" t="s">
        <v>304</v>
      </c>
      <c r="E11" s="12">
        <v>45806.919386574074</v>
      </c>
      <c r="F11" s="14">
        <v>220000.0</v>
      </c>
      <c r="G11" s="14">
        <v>9000.0</v>
      </c>
      <c r="H11" s="6">
        <v>2.0</v>
      </c>
      <c r="I11" s="14">
        <v>440000.0</v>
      </c>
      <c r="J11" s="5" t="s">
        <v>309</v>
      </c>
      <c r="K11" s="15">
        <f t="shared" si="1"/>
        <v>0</v>
      </c>
      <c r="L11" s="15">
        <f t="shared" si="2"/>
        <v>440000</v>
      </c>
      <c r="M11" s="15">
        <f t="shared" si="3"/>
        <v>449000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8.0" customHeight="1">
      <c r="A12" s="5" t="s">
        <v>319</v>
      </c>
      <c r="B12" s="6">
        <v>1.0</v>
      </c>
      <c r="C12" s="5" t="s">
        <v>320</v>
      </c>
      <c r="D12" s="5" t="s">
        <v>321</v>
      </c>
      <c r="E12" s="12">
        <v>46123.13862268518</v>
      </c>
      <c r="F12" s="14">
        <v>189000.0</v>
      </c>
      <c r="G12" s="14">
        <v>9000.0</v>
      </c>
      <c r="H12" s="6">
        <v>4.0</v>
      </c>
      <c r="I12" s="14">
        <v>756000.0</v>
      </c>
      <c r="J12" s="5" t="s">
        <v>325</v>
      </c>
      <c r="K12" s="15">
        <f t="shared" si="1"/>
        <v>0</v>
      </c>
      <c r="L12" s="15">
        <f t="shared" si="2"/>
        <v>756000</v>
      </c>
      <c r="M12" s="15">
        <f t="shared" si="3"/>
        <v>765000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8.0" customHeight="1">
      <c r="A13" s="5" t="s">
        <v>319</v>
      </c>
      <c r="B13" s="6">
        <v>2.0</v>
      </c>
      <c r="C13" s="5" t="s">
        <v>336</v>
      </c>
      <c r="D13" s="5" t="s">
        <v>337</v>
      </c>
      <c r="E13" s="12">
        <v>46123.13862268518</v>
      </c>
      <c r="F13" s="14">
        <v>280000.0</v>
      </c>
      <c r="G13" s="14">
        <v>17000.0</v>
      </c>
      <c r="H13" s="6">
        <v>1.0</v>
      </c>
      <c r="I13" s="14">
        <v>280000.0</v>
      </c>
      <c r="J13" s="5" t="s">
        <v>340</v>
      </c>
      <c r="K13" s="15">
        <f t="shared" si="1"/>
        <v>0</v>
      </c>
      <c r="L13" s="15">
        <f t="shared" si="2"/>
        <v>280000</v>
      </c>
      <c r="M13" s="15">
        <f t="shared" si="3"/>
        <v>297000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8.0" customHeight="1">
      <c r="A14" s="5" t="s">
        <v>319</v>
      </c>
      <c r="B14" s="6">
        <v>3.0</v>
      </c>
      <c r="C14" s="5" t="s">
        <v>353</v>
      </c>
      <c r="D14" s="5" t="s">
        <v>156</v>
      </c>
      <c r="E14" s="12">
        <v>46123.13862268518</v>
      </c>
      <c r="F14" s="14">
        <v>119000.0</v>
      </c>
      <c r="G14" s="14">
        <v>4000.0</v>
      </c>
      <c r="H14" s="6">
        <v>1.0</v>
      </c>
      <c r="I14" s="14">
        <v>119000.0</v>
      </c>
      <c r="J14" s="5" t="s">
        <v>355</v>
      </c>
      <c r="K14" s="15">
        <f t="shared" si="1"/>
        <v>0</v>
      </c>
      <c r="L14" s="15">
        <f t="shared" si="2"/>
        <v>119000</v>
      </c>
      <c r="M14" s="15">
        <f t="shared" si="3"/>
        <v>123000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8.0" customHeight="1">
      <c r="A15" s="5" t="s">
        <v>366</v>
      </c>
      <c r="B15" s="6">
        <v>1.0</v>
      </c>
      <c r="C15" s="5" t="s">
        <v>43</v>
      </c>
      <c r="D15" s="5" t="s">
        <v>321</v>
      </c>
      <c r="E15" s="12">
        <v>46198.425578703704</v>
      </c>
      <c r="F15" s="14">
        <v>473000.0</v>
      </c>
      <c r="G15" s="14">
        <v>19000.0</v>
      </c>
      <c r="H15" s="6">
        <v>4.0</v>
      </c>
      <c r="I15" s="14">
        <v>1892000.0</v>
      </c>
      <c r="J15" s="5" t="s">
        <v>369</v>
      </c>
      <c r="K15" s="15">
        <f t="shared" si="1"/>
        <v>0</v>
      </c>
      <c r="L15" s="15">
        <f t="shared" si="2"/>
        <v>1892000</v>
      </c>
      <c r="M15" s="15">
        <f t="shared" si="3"/>
        <v>1911000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.0" customHeight="1">
      <c r="A16" s="5" t="s">
        <v>366</v>
      </c>
      <c r="B16" s="6">
        <v>2.0</v>
      </c>
      <c r="C16" s="5" t="s">
        <v>241</v>
      </c>
      <c r="D16" s="5" t="s">
        <v>243</v>
      </c>
      <c r="E16" s="12">
        <v>46198.425578703704</v>
      </c>
      <c r="F16" s="14">
        <v>120000.0</v>
      </c>
      <c r="G16" s="14">
        <v>6000.0</v>
      </c>
      <c r="H16" s="6">
        <v>1.0</v>
      </c>
      <c r="I16" s="14">
        <v>120000.0</v>
      </c>
      <c r="J16" s="5" t="s">
        <v>385</v>
      </c>
      <c r="K16" s="15">
        <f t="shared" si="1"/>
        <v>0</v>
      </c>
      <c r="L16" s="15">
        <f t="shared" si="2"/>
        <v>120000</v>
      </c>
      <c r="M16" s="15">
        <f t="shared" si="3"/>
        <v>126000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.0" customHeight="1">
      <c r="A17" s="5" t="s">
        <v>394</v>
      </c>
      <c r="B17" s="6">
        <v>1.0</v>
      </c>
      <c r="C17" s="5" t="s">
        <v>147</v>
      </c>
      <c r="D17" s="5" t="s">
        <v>397</v>
      </c>
      <c r="E17" s="12">
        <v>45791.05799768519</v>
      </c>
      <c r="F17" s="14">
        <v>180000.0</v>
      </c>
      <c r="G17" s="14">
        <v>11000.0</v>
      </c>
      <c r="H17" s="6">
        <v>1.0</v>
      </c>
      <c r="I17" s="14">
        <v>180000.0</v>
      </c>
      <c r="J17" s="5" t="s">
        <v>401</v>
      </c>
      <c r="K17" s="15">
        <f t="shared" si="1"/>
        <v>0</v>
      </c>
      <c r="L17" s="15">
        <f t="shared" si="2"/>
        <v>180000</v>
      </c>
      <c r="M17" s="15">
        <f t="shared" si="3"/>
        <v>191000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8.0" customHeight="1">
      <c r="A18" s="5" t="s">
        <v>394</v>
      </c>
      <c r="B18" s="6">
        <v>2.0</v>
      </c>
      <c r="C18" s="5" t="s">
        <v>222</v>
      </c>
      <c r="D18" s="5" t="s">
        <v>414</v>
      </c>
      <c r="E18" s="12">
        <v>45791.05799768519</v>
      </c>
      <c r="F18" s="14">
        <v>257000.0</v>
      </c>
      <c r="G18" s="14">
        <v>8000.0</v>
      </c>
      <c r="H18" s="6">
        <v>1.0</v>
      </c>
      <c r="I18" s="14">
        <v>257000.0</v>
      </c>
      <c r="J18" s="5" t="s">
        <v>419</v>
      </c>
      <c r="K18" s="15">
        <f t="shared" si="1"/>
        <v>0</v>
      </c>
      <c r="L18" s="15">
        <f t="shared" si="2"/>
        <v>257000</v>
      </c>
      <c r="M18" s="15">
        <f t="shared" si="3"/>
        <v>265000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8.0" customHeight="1">
      <c r="A19" s="5" t="s">
        <v>394</v>
      </c>
      <c r="B19" s="6">
        <v>3.0</v>
      </c>
      <c r="C19" s="5" t="s">
        <v>336</v>
      </c>
      <c r="D19" s="5" t="s">
        <v>337</v>
      </c>
      <c r="E19" s="12">
        <v>45791.05799768519</v>
      </c>
      <c r="F19" s="14">
        <v>280000.0</v>
      </c>
      <c r="G19" s="14">
        <v>11000.0</v>
      </c>
      <c r="H19" s="6">
        <v>2.0</v>
      </c>
      <c r="I19" s="14">
        <v>560000.0</v>
      </c>
      <c r="J19" s="5" t="s">
        <v>433</v>
      </c>
      <c r="K19" s="15">
        <f t="shared" si="1"/>
        <v>0</v>
      </c>
      <c r="L19" s="15">
        <f t="shared" si="2"/>
        <v>560000</v>
      </c>
      <c r="M19" s="15">
        <f t="shared" si="3"/>
        <v>571000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8.0" customHeight="1">
      <c r="A20" s="5" t="s">
        <v>442</v>
      </c>
      <c r="B20" s="6">
        <v>1.0</v>
      </c>
      <c r="C20" s="5" t="s">
        <v>136</v>
      </c>
      <c r="D20" s="5" t="s">
        <v>445</v>
      </c>
      <c r="E20" s="12">
        <v>45813.720729166664</v>
      </c>
      <c r="F20" s="14">
        <v>711000.0</v>
      </c>
      <c r="G20" s="14">
        <v>36000.0</v>
      </c>
      <c r="H20" s="6">
        <v>1.0</v>
      </c>
      <c r="I20" s="14">
        <v>711000.0</v>
      </c>
      <c r="J20" s="5" t="s">
        <v>450</v>
      </c>
      <c r="K20" s="15">
        <f t="shared" si="1"/>
        <v>0</v>
      </c>
      <c r="L20" s="15">
        <f t="shared" si="2"/>
        <v>711000</v>
      </c>
      <c r="M20" s="15">
        <f t="shared" si="3"/>
        <v>747000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8.0" customHeight="1">
      <c r="A21" s="5" t="s">
        <v>456</v>
      </c>
      <c r="B21" s="6">
        <v>1.0</v>
      </c>
      <c r="C21" s="5" t="s">
        <v>311</v>
      </c>
      <c r="D21" s="5" t="s">
        <v>460</v>
      </c>
      <c r="E21" s="12">
        <v>45524.333969907406</v>
      </c>
      <c r="F21" s="14">
        <v>210000.0</v>
      </c>
      <c r="G21" s="14">
        <v>13000.0</v>
      </c>
      <c r="H21" s="6">
        <v>1.0</v>
      </c>
      <c r="I21" s="14">
        <v>210000.0</v>
      </c>
      <c r="J21" s="5" t="s">
        <v>464</v>
      </c>
      <c r="K21" s="15">
        <f t="shared" si="1"/>
        <v>0</v>
      </c>
      <c r="L21" s="15">
        <f t="shared" si="2"/>
        <v>210000</v>
      </c>
      <c r="M21" s="15">
        <f t="shared" si="3"/>
        <v>223000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8.0" customHeight="1">
      <c r="A22" s="5" t="s">
        <v>456</v>
      </c>
      <c r="B22" s="6">
        <v>2.0</v>
      </c>
      <c r="C22" s="5" t="s">
        <v>356</v>
      </c>
      <c r="D22" s="5" t="s">
        <v>478</v>
      </c>
      <c r="E22" s="12">
        <v>45524.333969907406</v>
      </c>
      <c r="F22" s="14">
        <v>145000.0</v>
      </c>
      <c r="G22" s="14">
        <v>4000.0</v>
      </c>
      <c r="H22" s="6">
        <v>2.0</v>
      </c>
      <c r="I22" s="14">
        <v>290000.0</v>
      </c>
      <c r="J22" s="5" t="s">
        <v>482</v>
      </c>
      <c r="K22" s="15">
        <f t="shared" si="1"/>
        <v>0</v>
      </c>
      <c r="L22" s="15">
        <f t="shared" si="2"/>
        <v>290000</v>
      </c>
      <c r="M22" s="15">
        <f t="shared" si="3"/>
        <v>294000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8.0" customHeight="1">
      <c r="A23" s="5" t="s">
        <v>456</v>
      </c>
      <c r="B23" s="6">
        <v>3.0</v>
      </c>
      <c r="C23" s="5" t="s">
        <v>222</v>
      </c>
      <c r="D23" s="5" t="s">
        <v>414</v>
      </c>
      <c r="E23" s="12">
        <v>45524.333969907406</v>
      </c>
      <c r="F23" s="14">
        <v>285000.0</v>
      </c>
      <c r="G23" s="14">
        <v>11000.0</v>
      </c>
      <c r="H23" s="6">
        <v>1.0</v>
      </c>
      <c r="I23" s="14">
        <v>285000.0</v>
      </c>
      <c r="J23" s="5" t="s">
        <v>497</v>
      </c>
      <c r="K23" s="15">
        <f t="shared" si="1"/>
        <v>0</v>
      </c>
      <c r="L23" s="15">
        <f t="shared" si="2"/>
        <v>285000</v>
      </c>
      <c r="M23" s="15">
        <f t="shared" si="3"/>
        <v>296000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8.0" customHeight="1">
      <c r="A24" s="5" t="s">
        <v>456</v>
      </c>
      <c r="B24" s="6">
        <v>4.0</v>
      </c>
      <c r="C24" s="5" t="s">
        <v>184</v>
      </c>
      <c r="D24" s="5" t="s">
        <v>227</v>
      </c>
      <c r="E24" s="12">
        <v>45524.333969907406</v>
      </c>
      <c r="F24" s="14">
        <v>280000.0</v>
      </c>
      <c r="G24" s="14">
        <v>14000.0</v>
      </c>
      <c r="H24" s="6">
        <v>4.0</v>
      </c>
      <c r="I24" s="14">
        <v>1120000.0</v>
      </c>
      <c r="J24" s="5" t="s">
        <v>513</v>
      </c>
      <c r="K24" s="15">
        <f t="shared" si="1"/>
        <v>0</v>
      </c>
      <c r="L24" s="15">
        <f t="shared" si="2"/>
        <v>1120000</v>
      </c>
      <c r="M24" s="15">
        <f t="shared" si="3"/>
        <v>1134000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8.0" customHeight="1">
      <c r="A25" s="5" t="s">
        <v>526</v>
      </c>
      <c r="B25" s="6">
        <v>1.0</v>
      </c>
      <c r="C25" s="5" t="s">
        <v>43</v>
      </c>
      <c r="D25" s="5" t="s">
        <v>321</v>
      </c>
      <c r="E25" s="12">
        <v>45337.37390046296</v>
      </c>
      <c r="F25" s="14">
        <v>450000.0</v>
      </c>
      <c r="G25" s="14">
        <v>27000.0</v>
      </c>
      <c r="H25" s="6">
        <v>1.0</v>
      </c>
      <c r="I25" s="14">
        <v>450000.0</v>
      </c>
      <c r="J25" s="5" t="s">
        <v>530</v>
      </c>
      <c r="K25" s="15">
        <f t="shared" si="1"/>
        <v>0</v>
      </c>
      <c r="L25" s="15">
        <f t="shared" si="2"/>
        <v>450000</v>
      </c>
      <c r="M25" s="15">
        <f t="shared" si="3"/>
        <v>477000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.0" customHeight="1">
      <c r="A26" s="5" t="s">
        <v>526</v>
      </c>
      <c r="B26" s="6">
        <v>2.0</v>
      </c>
      <c r="C26" s="5" t="s">
        <v>331</v>
      </c>
      <c r="D26" s="5" t="s">
        <v>541</v>
      </c>
      <c r="E26" s="12">
        <v>45337.37390046296</v>
      </c>
      <c r="F26" s="14">
        <v>135000.0</v>
      </c>
      <c r="G26" s="14">
        <v>4000.0</v>
      </c>
      <c r="H26" s="6">
        <v>2.0</v>
      </c>
      <c r="I26" s="14">
        <v>270000.0</v>
      </c>
      <c r="J26" s="5" t="s">
        <v>542</v>
      </c>
      <c r="K26" s="15">
        <f t="shared" si="1"/>
        <v>0</v>
      </c>
      <c r="L26" s="15">
        <f t="shared" si="2"/>
        <v>270000</v>
      </c>
      <c r="M26" s="15">
        <f t="shared" si="3"/>
        <v>274000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8.0" customHeight="1">
      <c r="A27" s="5" t="s">
        <v>526</v>
      </c>
      <c r="B27" s="6">
        <v>3.0</v>
      </c>
      <c r="C27" s="5" t="s">
        <v>163</v>
      </c>
      <c r="D27" s="5" t="s">
        <v>550</v>
      </c>
      <c r="E27" s="12">
        <v>45337.37390046296</v>
      </c>
      <c r="F27" s="14">
        <v>336000.0</v>
      </c>
      <c r="G27" s="14">
        <v>13000.0</v>
      </c>
      <c r="H27" s="6">
        <v>1.0</v>
      </c>
      <c r="I27" s="14">
        <v>336000.0</v>
      </c>
      <c r="J27" s="5" t="s">
        <v>555</v>
      </c>
      <c r="K27" s="15">
        <f t="shared" si="1"/>
        <v>0</v>
      </c>
      <c r="L27" s="15">
        <f t="shared" si="2"/>
        <v>336000</v>
      </c>
      <c r="M27" s="15">
        <f t="shared" si="3"/>
        <v>349000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.0" customHeight="1">
      <c r="A28" s="5" t="s">
        <v>526</v>
      </c>
      <c r="B28" s="6">
        <v>4.0</v>
      </c>
      <c r="C28" s="5" t="s">
        <v>175</v>
      </c>
      <c r="D28" s="5" t="s">
        <v>178</v>
      </c>
      <c r="E28" s="12">
        <v>45337.37390046296</v>
      </c>
      <c r="F28" s="14">
        <v>128000.0</v>
      </c>
      <c r="G28" s="14">
        <v>6000.0</v>
      </c>
      <c r="H28" s="6">
        <v>1.0</v>
      </c>
      <c r="I28" s="14">
        <v>128000.0</v>
      </c>
      <c r="J28" s="5" t="s">
        <v>565</v>
      </c>
      <c r="K28" s="15">
        <f t="shared" si="1"/>
        <v>0</v>
      </c>
      <c r="L28" s="15">
        <f t="shared" si="2"/>
        <v>128000</v>
      </c>
      <c r="M28" s="15">
        <f t="shared" si="3"/>
        <v>134000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8.0" customHeight="1">
      <c r="A29" s="5" t="s">
        <v>575</v>
      </c>
      <c r="B29" s="6">
        <v>1.0</v>
      </c>
      <c r="C29" s="5" t="s">
        <v>112</v>
      </c>
      <c r="D29" s="5" t="s">
        <v>304</v>
      </c>
      <c r="E29" s="12">
        <v>45352.61082175926</v>
      </c>
      <c r="F29" s="14">
        <v>198000.0</v>
      </c>
      <c r="G29" s="14">
        <v>12000.0</v>
      </c>
      <c r="H29" s="6">
        <v>1.0</v>
      </c>
      <c r="I29" s="14">
        <v>198000.0</v>
      </c>
      <c r="J29" s="5" t="s">
        <v>580</v>
      </c>
      <c r="K29" s="15">
        <f t="shared" si="1"/>
        <v>0</v>
      </c>
      <c r="L29" s="15">
        <f t="shared" si="2"/>
        <v>198000</v>
      </c>
      <c r="M29" s="15">
        <f t="shared" si="3"/>
        <v>210000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8.0" customHeight="1">
      <c r="A30" s="5" t="s">
        <v>586</v>
      </c>
      <c r="B30" s="6">
        <v>1.0</v>
      </c>
      <c r="C30" s="5" t="s">
        <v>210</v>
      </c>
      <c r="D30" s="5" t="s">
        <v>589</v>
      </c>
      <c r="E30" s="12">
        <v>45786.13340277778</v>
      </c>
      <c r="F30" s="14">
        <v>95000.0</v>
      </c>
      <c r="G30" s="14">
        <v>3000.0</v>
      </c>
      <c r="H30" s="6">
        <v>2.0</v>
      </c>
      <c r="I30" s="14">
        <v>190000.0</v>
      </c>
      <c r="J30" s="5" t="s">
        <v>593</v>
      </c>
      <c r="K30" s="15">
        <f t="shared" si="1"/>
        <v>0</v>
      </c>
      <c r="L30" s="15">
        <f t="shared" si="2"/>
        <v>190000</v>
      </c>
      <c r="M30" s="15">
        <f t="shared" si="3"/>
        <v>193000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8.0" customHeight="1">
      <c r="A31" s="5" t="s">
        <v>586</v>
      </c>
      <c r="B31" s="6">
        <v>2.0</v>
      </c>
      <c r="C31" s="5" t="s">
        <v>177</v>
      </c>
      <c r="D31" s="5" t="s">
        <v>602</v>
      </c>
      <c r="E31" s="12">
        <v>45786.13340277778</v>
      </c>
      <c r="F31" s="14">
        <v>138000.0</v>
      </c>
      <c r="G31" s="14">
        <v>6000.0</v>
      </c>
      <c r="H31" s="6">
        <v>4.0</v>
      </c>
      <c r="I31" s="14">
        <v>552000.0</v>
      </c>
      <c r="J31" s="5" t="s">
        <v>605</v>
      </c>
      <c r="K31" s="15">
        <f t="shared" si="1"/>
        <v>0</v>
      </c>
      <c r="L31" s="15">
        <f t="shared" si="2"/>
        <v>552000</v>
      </c>
      <c r="M31" s="15">
        <f t="shared" si="3"/>
        <v>558000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8.0" customHeight="1">
      <c r="A32" s="5" t="s">
        <v>613</v>
      </c>
      <c r="B32" s="6">
        <v>1.0</v>
      </c>
      <c r="C32" s="5" t="s">
        <v>402</v>
      </c>
      <c r="D32" s="5" t="s">
        <v>615</v>
      </c>
      <c r="E32" s="12">
        <v>45377.66028935185</v>
      </c>
      <c r="F32" s="14">
        <v>441000.0</v>
      </c>
      <c r="G32" s="14">
        <v>22000.0</v>
      </c>
      <c r="H32" s="6">
        <v>4.0</v>
      </c>
      <c r="I32" s="14">
        <v>1764000.0</v>
      </c>
      <c r="J32" s="5" t="s">
        <v>618</v>
      </c>
      <c r="K32" s="15">
        <f t="shared" si="1"/>
        <v>0</v>
      </c>
      <c r="L32" s="15">
        <f t="shared" si="2"/>
        <v>1764000</v>
      </c>
      <c r="M32" s="15">
        <f t="shared" si="3"/>
        <v>1786000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8.0" customHeight="1">
      <c r="A33" s="5" t="s">
        <v>613</v>
      </c>
      <c r="B33" s="6">
        <v>2.0</v>
      </c>
      <c r="C33" s="5" t="s">
        <v>283</v>
      </c>
      <c r="D33" s="5" t="s">
        <v>286</v>
      </c>
      <c r="E33" s="12">
        <v>45377.66028935185</v>
      </c>
      <c r="F33" s="14">
        <v>77000.0</v>
      </c>
      <c r="G33" s="14">
        <v>5000.0</v>
      </c>
      <c r="H33" s="6">
        <v>1.0</v>
      </c>
      <c r="I33" s="14">
        <v>77000.0</v>
      </c>
      <c r="J33" s="5" t="s">
        <v>625</v>
      </c>
      <c r="K33" s="15">
        <f t="shared" si="1"/>
        <v>0</v>
      </c>
      <c r="L33" s="15">
        <f t="shared" si="2"/>
        <v>77000</v>
      </c>
      <c r="M33" s="15">
        <f t="shared" si="3"/>
        <v>82000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8.0" customHeight="1">
      <c r="A34" s="5" t="s">
        <v>630</v>
      </c>
      <c r="B34" s="6">
        <v>1.0</v>
      </c>
      <c r="C34" s="5" t="s">
        <v>222</v>
      </c>
      <c r="D34" s="5" t="s">
        <v>414</v>
      </c>
      <c r="E34" s="12">
        <v>45616.294224537036</v>
      </c>
      <c r="F34" s="14">
        <v>285000.0</v>
      </c>
      <c r="G34" s="14">
        <v>9000.0</v>
      </c>
      <c r="H34" s="6">
        <v>3.0</v>
      </c>
      <c r="I34" s="14">
        <v>855000.0</v>
      </c>
      <c r="J34" s="5" t="s">
        <v>634</v>
      </c>
      <c r="K34" s="15">
        <f t="shared" si="1"/>
        <v>0</v>
      </c>
      <c r="L34" s="15">
        <f t="shared" si="2"/>
        <v>855000</v>
      </c>
      <c r="M34" s="15">
        <f t="shared" si="3"/>
        <v>864000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8.0" customHeight="1">
      <c r="A35" s="5" t="s">
        <v>630</v>
      </c>
      <c r="B35" s="6">
        <v>2.0</v>
      </c>
      <c r="C35" s="5" t="s">
        <v>353</v>
      </c>
      <c r="D35" s="5" t="s">
        <v>156</v>
      </c>
      <c r="E35" s="12">
        <v>45616.294224537036</v>
      </c>
      <c r="F35" s="14">
        <v>125000.0</v>
      </c>
      <c r="G35" s="14">
        <v>5000.0</v>
      </c>
      <c r="H35" s="6">
        <v>4.0</v>
      </c>
      <c r="I35" s="14">
        <v>500000.0</v>
      </c>
      <c r="J35" s="5" t="s">
        <v>642</v>
      </c>
      <c r="K35" s="15">
        <f t="shared" si="1"/>
        <v>0</v>
      </c>
      <c r="L35" s="15">
        <f t="shared" si="2"/>
        <v>500000</v>
      </c>
      <c r="M35" s="15">
        <f t="shared" si="3"/>
        <v>505000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8.0" customHeight="1">
      <c r="A36" s="5" t="s">
        <v>630</v>
      </c>
      <c r="B36" s="6">
        <v>3.0</v>
      </c>
      <c r="C36" s="5" t="s">
        <v>210</v>
      </c>
      <c r="D36" s="5" t="s">
        <v>589</v>
      </c>
      <c r="E36" s="12">
        <v>45616.294224537036</v>
      </c>
      <c r="F36" s="14">
        <v>86000.0</v>
      </c>
      <c r="G36" s="14">
        <v>4000.0</v>
      </c>
      <c r="H36" s="6">
        <v>1.0</v>
      </c>
      <c r="I36" s="14">
        <v>86000.0</v>
      </c>
      <c r="J36" s="5" t="s">
        <v>650</v>
      </c>
      <c r="K36" s="15">
        <f t="shared" si="1"/>
        <v>0</v>
      </c>
      <c r="L36" s="15">
        <f t="shared" si="2"/>
        <v>86000</v>
      </c>
      <c r="M36" s="15">
        <f t="shared" si="3"/>
        <v>90000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8.0" customHeight="1">
      <c r="A37" s="5" t="s">
        <v>656</v>
      </c>
      <c r="B37" s="6">
        <v>1.0</v>
      </c>
      <c r="C37" s="5" t="s">
        <v>331</v>
      </c>
      <c r="D37" s="5" t="s">
        <v>541</v>
      </c>
      <c r="E37" s="12">
        <v>45751.678611111114</v>
      </c>
      <c r="F37" s="14">
        <v>135000.0</v>
      </c>
      <c r="G37" s="14">
        <v>8000.0</v>
      </c>
      <c r="H37" s="6">
        <v>2.0</v>
      </c>
      <c r="I37" s="14">
        <v>270000.0</v>
      </c>
      <c r="J37" s="5" t="s">
        <v>660</v>
      </c>
      <c r="K37" s="15">
        <f t="shared" si="1"/>
        <v>0</v>
      </c>
      <c r="L37" s="15">
        <f t="shared" si="2"/>
        <v>270000</v>
      </c>
      <c r="M37" s="15">
        <f t="shared" si="3"/>
        <v>278000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8.0" customHeight="1">
      <c r="A38" s="5" t="s">
        <v>664</v>
      </c>
      <c r="B38" s="6">
        <v>1.0</v>
      </c>
      <c r="C38" s="5" t="s">
        <v>424</v>
      </c>
      <c r="D38" s="5" t="s">
        <v>667</v>
      </c>
      <c r="E38" s="12">
        <v>45786.598645833335</v>
      </c>
      <c r="F38" s="14">
        <v>205000.0</v>
      </c>
      <c r="G38" s="14">
        <v>6000.0</v>
      </c>
      <c r="H38" s="6">
        <v>2.0</v>
      </c>
      <c r="I38" s="14">
        <v>410000.0</v>
      </c>
      <c r="J38" s="5" t="s">
        <v>668</v>
      </c>
      <c r="K38" s="15">
        <f t="shared" si="1"/>
        <v>0</v>
      </c>
      <c r="L38" s="15">
        <f t="shared" si="2"/>
        <v>410000</v>
      </c>
      <c r="M38" s="15">
        <f t="shared" si="3"/>
        <v>416000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8.0" customHeight="1">
      <c r="A39" s="5" t="s">
        <v>664</v>
      </c>
      <c r="B39" s="6">
        <v>2.0</v>
      </c>
      <c r="C39" s="5" t="s">
        <v>163</v>
      </c>
      <c r="D39" s="5" t="s">
        <v>550</v>
      </c>
      <c r="E39" s="12">
        <v>45786.598645833335</v>
      </c>
      <c r="F39" s="14">
        <v>320000.0</v>
      </c>
      <c r="G39" s="14">
        <v>13000.0</v>
      </c>
      <c r="H39" s="6">
        <v>1.0</v>
      </c>
      <c r="I39" s="14">
        <v>320000.0</v>
      </c>
      <c r="J39" s="5" t="s">
        <v>675</v>
      </c>
      <c r="K39" s="15">
        <f t="shared" si="1"/>
        <v>0</v>
      </c>
      <c r="L39" s="15">
        <f t="shared" si="2"/>
        <v>320000</v>
      </c>
      <c r="M39" s="15">
        <f t="shared" si="3"/>
        <v>333000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8.0" customHeight="1">
      <c r="A40" s="5" t="s">
        <v>664</v>
      </c>
      <c r="B40" s="6">
        <v>3.0</v>
      </c>
      <c r="C40" s="5" t="s">
        <v>517</v>
      </c>
      <c r="D40" s="5" t="s">
        <v>602</v>
      </c>
      <c r="E40" s="12">
        <v>45786.598645833335</v>
      </c>
      <c r="F40" s="14">
        <v>114000.0</v>
      </c>
      <c r="G40" s="14">
        <v>6000.0</v>
      </c>
      <c r="H40" s="6">
        <v>4.0</v>
      </c>
      <c r="I40" s="14">
        <v>456000.0</v>
      </c>
      <c r="J40" s="5" t="s">
        <v>683</v>
      </c>
      <c r="K40" s="15">
        <f t="shared" si="1"/>
        <v>0</v>
      </c>
      <c r="L40" s="15">
        <f t="shared" si="2"/>
        <v>456000</v>
      </c>
      <c r="M40" s="15">
        <f t="shared" si="3"/>
        <v>462000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8.0" customHeight="1">
      <c r="A41" s="5" t="s">
        <v>689</v>
      </c>
      <c r="B41" s="6">
        <v>1.0</v>
      </c>
      <c r="C41" s="5" t="s">
        <v>242</v>
      </c>
      <c r="D41" s="5" t="s">
        <v>690</v>
      </c>
      <c r="E41" s="12">
        <v>45317.09243055555</v>
      </c>
      <c r="F41" s="14">
        <v>560000.0</v>
      </c>
      <c r="G41" s="14">
        <v>34000.0</v>
      </c>
      <c r="H41" s="6">
        <v>2.0</v>
      </c>
      <c r="I41" s="14">
        <v>1120000.0</v>
      </c>
      <c r="J41" s="5" t="s">
        <v>691</v>
      </c>
      <c r="K41" s="15">
        <f t="shared" si="1"/>
        <v>0</v>
      </c>
      <c r="L41" s="15">
        <f t="shared" si="2"/>
        <v>1120000</v>
      </c>
      <c r="M41" s="15">
        <f t="shared" si="3"/>
        <v>1154000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8.0" customHeight="1">
      <c r="A42" s="5" t="s">
        <v>689</v>
      </c>
      <c r="B42" s="6">
        <v>2.0</v>
      </c>
      <c r="C42" s="5" t="s">
        <v>184</v>
      </c>
      <c r="D42" s="5" t="s">
        <v>227</v>
      </c>
      <c r="E42" s="12">
        <v>45317.09243055555</v>
      </c>
      <c r="F42" s="14">
        <v>294000.0</v>
      </c>
      <c r="G42" s="14">
        <v>9000.0</v>
      </c>
      <c r="H42" s="6">
        <v>1.0</v>
      </c>
      <c r="I42" s="14">
        <v>294000.0</v>
      </c>
      <c r="J42" s="5" t="s">
        <v>693</v>
      </c>
      <c r="K42" s="15">
        <f t="shared" si="1"/>
        <v>0</v>
      </c>
      <c r="L42" s="15">
        <f t="shared" si="2"/>
        <v>294000</v>
      </c>
      <c r="M42" s="15">
        <f t="shared" si="3"/>
        <v>303000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8.0" customHeight="1">
      <c r="A43" s="5" t="s">
        <v>689</v>
      </c>
      <c r="B43" s="6">
        <v>3.0</v>
      </c>
      <c r="C43" s="5" t="s">
        <v>331</v>
      </c>
      <c r="D43" s="5" t="s">
        <v>541</v>
      </c>
      <c r="E43" s="12">
        <v>45317.09243055555</v>
      </c>
      <c r="F43" s="14">
        <v>135000.0</v>
      </c>
      <c r="G43" s="14">
        <v>5000.0</v>
      </c>
      <c r="H43" s="6">
        <v>2.0</v>
      </c>
      <c r="I43" s="14">
        <v>270000.0</v>
      </c>
      <c r="J43" s="5" t="s">
        <v>694</v>
      </c>
      <c r="K43" s="15">
        <f t="shared" si="1"/>
        <v>0</v>
      </c>
      <c r="L43" s="15">
        <f t="shared" si="2"/>
        <v>270000</v>
      </c>
      <c r="M43" s="15">
        <f t="shared" si="3"/>
        <v>275000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8.0" customHeight="1">
      <c r="A44" s="5" t="s">
        <v>689</v>
      </c>
      <c r="B44" s="6">
        <v>4.0</v>
      </c>
      <c r="C44" s="5" t="s">
        <v>147</v>
      </c>
      <c r="D44" s="5" t="s">
        <v>397</v>
      </c>
      <c r="E44" s="12">
        <v>45317.09243055555</v>
      </c>
      <c r="F44" s="14">
        <v>180000.0</v>
      </c>
      <c r="G44" s="14">
        <v>9000.0</v>
      </c>
      <c r="H44" s="6">
        <v>4.0</v>
      </c>
      <c r="I44" s="14">
        <v>720000.0</v>
      </c>
      <c r="J44" s="5" t="s">
        <v>695</v>
      </c>
      <c r="K44" s="15">
        <f t="shared" si="1"/>
        <v>0</v>
      </c>
      <c r="L44" s="15">
        <f t="shared" si="2"/>
        <v>720000</v>
      </c>
      <c r="M44" s="15">
        <f t="shared" si="3"/>
        <v>729000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8.0" customHeight="1">
      <c r="A45" s="5" t="s">
        <v>696</v>
      </c>
      <c r="B45" s="6">
        <v>1.0</v>
      </c>
      <c r="C45" s="5" t="s">
        <v>320</v>
      </c>
      <c r="D45" s="5" t="s">
        <v>321</v>
      </c>
      <c r="E45" s="12">
        <v>46130.47934027778</v>
      </c>
      <c r="F45" s="14">
        <v>171000.0</v>
      </c>
      <c r="G45" s="14">
        <v>10000.0</v>
      </c>
      <c r="H45" s="6">
        <v>4.0</v>
      </c>
      <c r="I45" s="14">
        <v>684000.0</v>
      </c>
      <c r="J45" s="5" t="s">
        <v>697</v>
      </c>
      <c r="K45" s="15">
        <f t="shared" si="1"/>
        <v>0</v>
      </c>
      <c r="L45" s="15">
        <f t="shared" si="2"/>
        <v>684000</v>
      </c>
      <c r="M45" s="15">
        <f t="shared" si="3"/>
        <v>694000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8.0" customHeight="1">
      <c r="A46" s="5" t="s">
        <v>696</v>
      </c>
      <c r="B46" s="6">
        <v>2.0</v>
      </c>
      <c r="C46" s="5" t="s">
        <v>136</v>
      </c>
      <c r="D46" s="5" t="s">
        <v>445</v>
      </c>
      <c r="E46" s="12">
        <v>46130.47934027778</v>
      </c>
      <c r="F46" s="14">
        <v>711000.0</v>
      </c>
      <c r="G46" s="14">
        <v>21000.0</v>
      </c>
      <c r="H46" s="6">
        <v>4.0</v>
      </c>
      <c r="I46" s="14">
        <v>2844000.0</v>
      </c>
      <c r="J46" s="5" t="s">
        <v>698</v>
      </c>
      <c r="K46" s="15">
        <f t="shared" si="1"/>
        <v>0</v>
      </c>
      <c r="L46" s="15">
        <f t="shared" si="2"/>
        <v>2844000</v>
      </c>
      <c r="M46" s="15">
        <f t="shared" si="3"/>
        <v>2865000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8.0" customHeight="1">
      <c r="A47" s="5" t="s">
        <v>699</v>
      </c>
      <c r="B47" s="6">
        <v>1.0</v>
      </c>
      <c r="C47" s="5" t="s">
        <v>545</v>
      </c>
      <c r="D47" s="5" t="s">
        <v>589</v>
      </c>
      <c r="E47" s="12">
        <v>45397.53335648148</v>
      </c>
      <c r="F47" s="14">
        <v>260000.0</v>
      </c>
      <c r="G47" s="14">
        <v>10000.0</v>
      </c>
      <c r="H47" s="6">
        <v>2.0</v>
      </c>
      <c r="I47" s="14">
        <v>520000.0</v>
      </c>
      <c r="J47" s="5" t="s">
        <v>700</v>
      </c>
      <c r="K47" s="15">
        <f t="shared" si="1"/>
        <v>0</v>
      </c>
      <c r="L47" s="15">
        <f t="shared" si="2"/>
        <v>520000</v>
      </c>
      <c r="M47" s="15">
        <f t="shared" si="3"/>
        <v>530000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8.0" customHeight="1">
      <c r="A48" s="5" t="s">
        <v>699</v>
      </c>
      <c r="B48" s="6">
        <v>2.0</v>
      </c>
      <c r="C48" s="5" t="s">
        <v>234</v>
      </c>
      <c r="D48" s="5" t="s">
        <v>701</v>
      </c>
      <c r="E48" s="12">
        <v>45397.53335648148</v>
      </c>
      <c r="F48" s="14">
        <v>185000.0</v>
      </c>
      <c r="G48" s="14">
        <v>9000.0</v>
      </c>
      <c r="H48" s="6">
        <v>3.0</v>
      </c>
      <c r="I48" s="14">
        <v>555000.0</v>
      </c>
      <c r="J48" s="5" t="s">
        <v>702</v>
      </c>
      <c r="K48" s="15">
        <f t="shared" si="1"/>
        <v>0</v>
      </c>
      <c r="L48" s="15">
        <f t="shared" si="2"/>
        <v>555000</v>
      </c>
      <c r="M48" s="15">
        <f t="shared" si="3"/>
        <v>564000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8.0" customHeight="1">
      <c r="A49" s="5" t="s">
        <v>703</v>
      </c>
      <c r="B49" s="6">
        <v>1.0</v>
      </c>
      <c r="C49" s="5" t="s">
        <v>122</v>
      </c>
      <c r="D49" s="5" t="s">
        <v>156</v>
      </c>
      <c r="E49" s="12">
        <v>45768.62017361111</v>
      </c>
      <c r="F49" s="14">
        <v>390000.0</v>
      </c>
      <c r="G49" s="14">
        <v>23000.0</v>
      </c>
      <c r="H49" s="6">
        <v>1.0</v>
      </c>
      <c r="I49" s="14">
        <v>390000.0</v>
      </c>
      <c r="J49" s="5" t="s">
        <v>704</v>
      </c>
      <c r="K49" s="15">
        <f t="shared" si="1"/>
        <v>0</v>
      </c>
      <c r="L49" s="15">
        <f t="shared" si="2"/>
        <v>390000</v>
      </c>
      <c r="M49" s="15">
        <f t="shared" si="3"/>
        <v>413000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8.0" customHeight="1">
      <c r="A50" s="5" t="s">
        <v>703</v>
      </c>
      <c r="B50" s="6">
        <v>2.0</v>
      </c>
      <c r="C50" s="5" t="s">
        <v>517</v>
      </c>
      <c r="D50" s="5" t="s">
        <v>602</v>
      </c>
      <c r="E50" s="12">
        <v>45768.62017361111</v>
      </c>
      <c r="F50" s="14">
        <v>120000.0</v>
      </c>
      <c r="G50" s="14">
        <v>4000.0</v>
      </c>
      <c r="H50" s="6">
        <v>2.0</v>
      </c>
      <c r="I50" s="14">
        <v>240000.0</v>
      </c>
      <c r="J50" s="5" t="s">
        <v>705</v>
      </c>
      <c r="K50" s="15">
        <f t="shared" si="1"/>
        <v>0</v>
      </c>
      <c r="L50" s="15">
        <f t="shared" si="2"/>
        <v>240000</v>
      </c>
      <c r="M50" s="15">
        <f t="shared" si="3"/>
        <v>244000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8.0" customHeight="1">
      <c r="A51" s="5" t="s">
        <v>703</v>
      </c>
      <c r="B51" s="6">
        <v>3.0</v>
      </c>
      <c r="C51" s="5" t="s">
        <v>210</v>
      </c>
      <c r="D51" s="5" t="s">
        <v>589</v>
      </c>
      <c r="E51" s="12">
        <v>45768.62017361111</v>
      </c>
      <c r="F51" s="14">
        <v>86000.0</v>
      </c>
      <c r="G51" s="14">
        <v>3000.0</v>
      </c>
      <c r="H51" s="6">
        <v>4.0</v>
      </c>
      <c r="I51" s="14">
        <v>344000.0</v>
      </c>
      <c r="J51" s="5" t="s">
        <v>706</v>
      </c>
      <c r="K51" s="15">
        <f t="shared" si="1"/>
        <v>0</v>
      </c>
      <c r="L51" s="15">
        <f t="shared" si="2"/>
        <v>344000</v>
      </c>
      <c r="M51" s="15">
        <f t="shared" si="3"/>
        <v>347000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8.0" customHeight="1">
      <c r="A52" s="5" t="s">
        <v>703</v>
      </c>
      <c r="B52" s="6">
        <v>4.0</v>
      </c>
      <c r="C52" s="5" t="s">
        <v>412</v>
      </c>
      <c r="D52" s="5" t="s">
        <v>707</v>
      </c>
      <c r="E52" s="12">
        <v>45768.62017361111</v>
      </c>
      <c r="F52" s="14">
        <v>155000.0</v>
      </c>
      <c r="G52" s="14">
        <v>8000.0</v>
      </c>
      <c r="H52" s="6">
        <v>3.0</v>
      </c>
      <c r="I52" s="14">
        <v>465000.0</v>
      </c>
      <c r="J52" s="5" t="s">
        <v>708</v>
      </c>
      <c r="K52" s="15">
        <f t="shared" si="1"/>
        <v>0</v>
      </c>
      <c r="L52" s="15">
        <f t="shared" si="2"/>
        <v>465000</v>
      </c>
      <c r="M52" s="15">
        <f t="shared" si="3"/>
        <v>473000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8.0" customHeight="1">
      <c r="A53" s="5" t="s">
        <v>709</v>
      </c>
      <c r="B53" s="6">
        <v>1.0</v>
      </c>
      <c r="C53" s="5" t="s">
        <v>234</v>
      </c>
      <c r="D53" s="5" t="s">
        <v>701</v>
      </c>
      <c r="E53" s="12">
        <v>45786.08846064815</v>
      </c>
      <c r="F53" s="14">
        <v>205000.0</v>
      </c>
      <c r="G53" s="14">
        <v>12000.0</v>
      </c>
      <c r="H53" s="6">
        <v>2.0</v>
      </c>
      <c r="I53" s="14">
        <v>410000.0</v>
      </c>
      <c r="J53" s="5" t="s">
        <v>710</v>
      </c>
      <c r="K53" s="15">
        <f t="shared" si="1"/>
        <v>0</v>
      </c>
      <c r="L53" s="15">
        <f t="shared" si="2"/>
        <v>410000</v>
      </c>
      <c r="M53" s="15">
        <f t="shared" si="3"/>
        <v>422000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8.0" customHeight="1">
      <c r="A54" s="5" t="s">
        <v>709</v>
      </c>
      <c r="B54" s="6">
        <v>2.0</v>
      </c>
      <c r="C54" s="5" t="s">
        <v>147</v>
      </c>
      <c r="D54" s="5" t="s">
        <v>397</v>
      </c>
      <c r="E54" s="12">
        <v>45786.08846064815</v>
      </c>
      <c r="F54" s="14">
        <v>180000.0</v>
      </c>
      <c r="G54" s="14">
        <v>5000.0</v>
      </c>
      <c r="H54" s="6">
        <v>2.0</v>
      </c>
      <c r="I54" s="14">
        <v>360000.0</v>
      </c>
      <c r="J54" s="5" t="s">
        <v>711</v>
      </c>
      <c r="K54" s="15">
        <f t="shared" si="1"/>
        <v>0</v>
      </c>
      <c r="L54" s="15">
        <f t="shared" si="2"/>
        <v>360000</v>
      </c>
      <c r="M54" s="15">
        <f t="shared" si="3"/>
        <v>365000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8.0" customHeight="1">
      <c r="A55" s="5" t="s">
        <v>712</v>
      </c>
      <c r="B55" s="6">
        <v>1.0</v>
      </c>
      <c r="C55" s="5" t="s">
        <v>264</v>
      </c>
      <c r="D55" s="5" t="s">
        <v>266</v>
      </c>
      <c r="E55" s="12">
        <v>46192.14072916667</v>
      </c>
      <c r="F55" s="14">
        <v>290000.0</v>
      </c>
      <c r="G55" s="14">
        <v>12000.0</v>
      </c>
      <c r="H55" s="6">
        <v>2.0</v>
      </c>
      <c r="I55" s="14">
        <v>580000.0</v>
      </c>
      <c r="J55" s="5" t="s">
        <v>713</v>
      </c>
      <c r="K55" s="15">
        <f t="shared" si="1"/>
        <v>0</v>
      </c>
      <c r="L55" s="15">
        <f t="shared" si="2"/>
        <v>580000</v>
      </c>
      <c r="M55" s="15">
        <f t="shared" si="3"/>
        <v>592000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8.0" customHeight="1">
      <c r="A56" s="5" t="s">
        <v>714</v>
      </c>
      <c r="B56" s="6">
        <v>1.0</v>
      </c>
      <c r="C56" s="5" t="s">
        <v>257</v>
      </c>
      <c r="D56" s="5" t="s">
        <v>715</v>
      </c>
      <c r="E56" s="12">
        <v>45768.552708333336</v>
      </c>
      <c r="F56" s="14">
        <v>250000.0</v>
      </c>
      <c r="G56" s="14">
        <v>13000.0</v>
      </c>
      <c r="H56" s="6">
        <v>2.0</v>
      </c>
      <c r="I56" s="14">
        <v>500000.0</v>
      </c>
      <c r="J56" s="5" t="s">
        <v>716</v>
      </c>
      <c r="K56" s="15">
        <f t="shared" si="1"/>
        <v>0</v>
      </c>
      <c r="L56" s="15">
        <f t="shared" si="2"/>
        <v>500000</v>
      </c>
      <c r="M56" s="15">
        <f t="shared" si="3"/>
        <v>513000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8.0" customHeight="1">
      <c r="A57" s="5" t="s">
        <v>717</v>
      </c>
      <c r="B57" s="6">
        <v>1.0</v>
      </c>
      <c r="C57" s="5" t="s">
        <v>336</v>
      </c>
      <c r="D57" s="5" t="s">
        <v>337</v>
      </c>
      <c r="E57" s="12">
        <v>45796.19143518519</v>
      </c>
      <c r="F57" s="14">
        <v>266000.0</v>
      </c>
      <c r="G57" s="14">
        <v>16000.0</v>
      </c>
      <c r="H57" s="6">
        <v>4.0</v>
      </c>
      <c r="I57" s="14">
        <v>1064000.0</v>
      </c>
      <c r="J57" s="5" t="s">
        <v>718</v>
      </c>
      <c r="K57" s="15">
        <f t="shared" si="1"/>
        <v>0</v>
      </c>
      <c r="L57" s="15">
        <f t="shared" si="2"/>
        <v>1064000</v>
      </c>
      <c r="M57" s="15">
        <f t="shared" si="3"/>
        <v>1080000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8.0" customHeight="1">
      <c r="A58" s="5" t="s">
        <v>717</v>
      </c>
      <c r="B58" s="6">
        <v>2.0</v>
      </c>
      <c r="C58" s="5" t="s">
        <v>242</v>
      </c>
      <c r="D58" s="5" t="s">
        <v>690</v>
      </c>
      <c r="E58" s="12">
        <v>45796.19143518519</v>
      </c>
      <c r="F58" s="14">
        <v>588000.0</v>
      </c>
      <c r="G58" s="14">
        <v>18000.0</v>
      </c>
      <c r="H58" s="6">
        <v>3.0</v>
      </c>
      <c r="I58" s="14">
        <v>1764000.0</v>
      </c>
      <c r="J58" s="5" t="s">
        <v>719</v>
      </c>
      <c r="K58" s="15">
        <f t="shared" si="1"/>
        <v>0</v>
      </c>
      <c r="L58" s="15">
        <f t="shared" si="2"/>
        <v>1764000</v>
      </c>
      <c r="M58" s="15">
        <f t="shared" si="3"/>
        <v>1782000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8.0" customHeight="1">
      <c r="A59" s="5" t="s">
        <v>717</v>
      </c>
      <c r="B59" s="6">
        <v>3.0</v>
      </c>
      <c r="C59" s="5" t="s">
        <v>527</v>
      </c>
      <c r="D59" s="5" t="s">
        <v>227</v>
      </c>
      <c r="E59" s="12">
        <v>45796.19143518519</v>
      </c>
      <c r="F59" s="14">
        <v>155000.0</v>
      </c>
      <c r="G59" s="14">
        <v>6000.0</v>
      </c>
      <c r="H59" s="6">
        <v>2.0</v>
      </c>
      <c r="I59" s="14">
        <v>310000.0</v>
      </c>
      <c r="J59" s="5" t="s">
        <v>720</v>
      </c>
      <c r="K59" s="15">
        <f t="shared" si="1"/>
        <v>0</v>
      </c>
      <c r="L59" s="15">
        <f t="shared" si="2"/>
        <v>310000</v>
      </c>
      <c r="M59" s="15">
        <f t="shared" si="3"/>
        <v>316000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8.0" customHeight="1">
      <c r="A60" s="5" t="s">
        <v>717</v>
      </c>
      <c r="B60" s="6">
        <v>4.0</v>
      </c>
      <c r="C60" s="5" t="s">
        <v>136</v>
      </c>
      <c r="D60" s="5" t="s">
        <v>445</v>
      </c>
      <c r="E60" s="12">
        <v>45796.19143518519</v>
      </c>
      <c r="F60" s="14">
        <v>711000.0</v>
      </c>
      <c r="G60" s="14">
        <v>36000.0</v>
      </c>
      <c r="H60" s="6">
        <v>1.0</v>
      </c>
      <c r="I60" s="14">
        <v>711000.0</v>
      </c>
      <c r="J60" s="5" t="s">
        <v>721</v>
      </c>
      <c r="K60" s="15">
        <f t="shared" si="1"/>
        <v>0</v>
      </c>
      <c r="L60" s="15">
        <f t="shared" si="2"/>
        <v>711000</v>
      </c>
      <c r="M60" s="15">
        <f t="shared" si="3"/>
        <v>747000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8.0" customHeight="1">
      <c r="A61" s="5" t="s">
        <v>722</v>
      </c>
      <c r="B61" s="6">
        <v>1.0</v>
      </c>
      <c r="C61" s="5" t="s">
        <v>80</v>
      </c>
      <c r="D61" s="5" t="s">
        <v>81</v>
      </c>
      <c r="E61" s="12">
        <v>46063.61570601852</v>
      </c>
      <c r="F61" s="14">
        <v>399000.0</v>
      </c>
      <c r="G61" s="14">
        <v>24000.0</v>
      </c>
      <c r="H61" s="6">
        <v>4.0</v>
      </c>
      <c r="I61" s="14">
        <v>1596000.0</v>
      </c>
      <c r="J61" s="5" t="s">
        <v>723</v>
      </c>
      <c r="K61" s="15">
        <f t="shared" si="1"/>
        <v>0</v>
      </c>
      <c r="L61" s="15">
        <f t="shared" si="2"/>
        <v>1596000</v>
      </c>
      <c r="M61" s="15">
        <f t="shared" si="3"/>
        <v>1620000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8.0" customHeight="1">
      <c r="A62" s="5" t="s">
        <v>722</v>
      </c>
      <c r="B62" s="6">
        <v>2.0</v>
      </c>
      <c r="C62" s="5" t="s">
        <v>189</v>
      </c>
      <c r="D62" s="5" t="s">
        <v>191</v>
      </c>
      <c r="E62" s="12">
        <v>46063.61570601852</v>
      </c>
      <c r="F62" s="14">
        <v>315000.0</v>
      </c>
      <c r="G62" s="14">
        <v>9000.0</v>
      </c>
      <c r="H62" s="6">
        <v>1.0</v>
      </c>
      <c r="I62" s="14">
        <v>315000.0</v>
      </c>
      <c r="J62" s="5" t="s">
        <v>724</v>
      </c>
      <c r="K62" s="15">
        <f t="shared" si="1"/>
        <v>0</v>
      </c>
      <c r="L62" s="15">
        <f t="shared" si="2"/>
        <v>315000</v>
      </c>
      <c r="M62" s="15">
        <f t="shared" si="3"/>
        <v>324000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8.0" customHeight="1">
      <c r="A63" s="5" t="s">
        <v>725</v>
      </c>
      <c r="B63" s="6">
        <v>1.0</v>
      </c>
      <c r="C63" s="5" t="s">
        <v>402</v>
      </c>
      <c r="D63" s="5" t="s">
        <v>615</v>
      </c>
      <c r="E63" s="12">
        <v>45410.05003472222</v>
      </c>
      <c r="F63" s="14">
        <v>420000.0</v>
      </c>
      <c r="G63" s="14">
        <v>17000.0</v>
      </c>
      <c r="H63" s="6">
        <v>2.0</v>
      </c>
      <c r="I63" s="14">
        <v>840000.0</v>
      </c>
      <c r="J63" s="5" t="s">
        <v>726</v>
      </c>
      <c r="K63" s="15">
        <f t="shared" si="1"/>
        <v>0</v>
      </c>
      <c r="L63" s="15">
        <f t="shared" si="2"/>
        <v>840000</v>
      </c>
      <c r="M63" s="15">
        <f t="shared" si="3"/>
        <v>857000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8.0" customHeight="1">
      <c r="A64" s="5" t="s">
        <v>725</v>
      </c>
      <c r="B64" s="6">
        <v>2.0</v>
      </c>
      <c r="C64" s="5" t="s">
        <v>356</v>
      </c>
      <c r="D64" s="5" t="s">
        <v>478</v>
      </c>
      <c r="E64" s="12">
        <v>45410.05003472222</v>
      </c>
      <c r="F64" s="14">
        <v>152000.0</v>
      </c>
      <c r="G64" s="14">
        <v>8000.0</v>
      </c>
      <c r="H64" s="6">
        <v>1.0</v>
      </c>
      <c r="I64" s="14">
        <v>152000.0</v>
      </c>
      <c r="J64" s="5" t="s">
        <v>727</v>
      </c>
      <c r="K64" s="15">
        <f t="shared" si="1"/>
        <v>0</v>
      </c>
      <c r="L64" s="15">
        <f t="shared" si="2"/>
        <v>152000</v>
      </c>
      <c r="M64" s="15">
        <f t="shared" si="3"/>
        <v>160000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8.0" customHeight="1">
      <c r="A65" s="5" t="s">
        <v>725</v>
      </c>
      <c r="B65" s="6">
        <v>3.0</v>
      </c>
      <c r="C65" s="5" t="s">
        <v>257</v>
      </c>
      <c r="D65" s="5" t="s">
        <v>715</v>
      </c>
      <c r="E65" s="12">
        <v>45410.05003472222</v>
      </c>
      <c r="F65" s="14">
        <v>250000.0</v>
      </c>
      <c r="G65" s="14">
        <v>15000.0</v>
      </c>
      <c r="H65" s="6">
        <v>3.0</v>
      </c>
      <c r="I65" s="14">
        <v>750000.0</v>
      </c>
      <c r="J65" s="5" t="s">
        <v>728</v>
      </c>
      <c r="K65" s="15">
        <f t="shared" si="1"/>
        <v>0</v>
      </c>
      <c r="L65" s="15">
        <f t="shared" si="2"/>
        <v>750000</v>
      </c>
      <c r="M65" s="15">
        <f t="shared" si="3"/>
        <v>765000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8.0" customHeight="1">
      <c r="A66" s="5" t="s">
        <v>725</v>
      </c>
      <c r="B66" s="6">
        <v>4.0</v>
      </c>
      <c r="C66" s="5" t="s">
        <v>281</v>
      </c>
      <c r="D66" s="5" t="s">
        <v>729</v>
      </c>
      <c r="E66" s="12">
        <v>45410.05003472222</v>
      </c>
      <c r="F66" s="14">
        <v>242000.0</v>
      </c>
      <c r="G66" s="14">
        <v>7000.0</v>
      </c>
      <c r="H66" s="6">
        <v>4.0</v>
      </c>
      <c r="I66" s="14">
        <v>968000.0</v>
      </c>
      <c r="J66" s="5" t="s">
        <v>730</v>
      </c>
      <c r="K66" s="15">
        <f t="shared" si="1"/>
        <v>0</v>
      </c>
      <c r="L66" s="15">
        <f t="shared" si="2"/>
        <v>968000</v>
      </c>
      <c r="M66" s="15">
        <f t="shared" si="3"/>
        <v>975000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8.0" customHeight="1">
      <c r="A67" s="5" t="s">
        <v>731</v>
      </c>
      <c r="B67" s="6">
        <v>1.0</v>
      </c>
      <c r="C67" s="5" t="s">
        <v>189</v>
      </c>
      <c r="D67" s="5" t="s">
        <v>191</v>
      </c>
      <c r="E67" s="12">
        <v>45470.279444444444</v>
      </c>
      <c r="F67" s="14">
        <v>350000.0</v>
      </c>
      <c r="G67" s="14">
        <v>14000.0</v>
      </c>
      <c r="H67" s="6">
        <v>1.0</v>
      </c>
      <c r="I67" s="14">
        <v>350000.0</v>
      </c>
      <c r="J67" s="5" t="s">
        <v>732</v>
      </c>
      <c r="K67" s="15">
        <f t="shared" si="1"/>
        <v>0</v>
      </c>
      <c r="L67" s="15">
        <f t="shared" si="2"/>
        <v>350000</v>
      </c>
      <c r="M67" s="15">
        <f t="shared" si="3"/>
        <v>364000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8.0" customHeight="1">
      <c r="A68" s="5" t="s">
        <v>731</v>
      </c>
      <c r="B68" s="6">
        <v>2.0</v>
      </c>
      <c r="C68" s="5" t="s">
        <v>122</v>
      </c>
      <c r="D68" s="5" t="s">
        <v>156</v>
      </c>
      <c r="E68" s="12">
        <v>45470.279444444444</v>
      </c>
      <c r="F68" s="14">
        <v>371000.0</v>
      </c>
      <c r="G68" s="14">
        <v>19000.0</v>
      </c>
      <c r="H68" s="6">
        <v>3.0</v>
      </c>
      <c r="I68" s="14">
        <v>1113000.0</v>
      </c>
      <c r="J68" s="5" t="s">
        <v>733</v>
      </c>
      <c r="K68" s="15">
        <f t="shared" si="1"/>
        <v>0</v>
      </c>
      <c r="L68" s="15">
        <f t="shared" si="2"/>
        <v>1113000</v>
      </c>
      <c r="M68" s="15">
        <f t="shared" si="3"/>
        <v>1132000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8.0" customHeight="1">
      <c r="A69" s="5" t="s">
        <v>734</v>
      </c>
      <c r="B69" s="6">
        <v>1.0</v>
      </c>
      <c r="C69" s="5" t="s">
        <v>311</v>
      </c>
      <c r="D69" s="5" t="s">
        <v>460</v>
      </c>
      <c r="E69" s="12">
        <v>46224.43883101852</v>
      </c>
      <c r="F69" s="14">
        <v>221000.0</v>
      </c>
      <c r="G69" s="14">
        <v>13000.0</v>
      </c>
      <c r="H69" s="6">
        <v>1.0</v>
      </c>
      <c r="I69" s="14">
        <v>221000.0</v>
      </c>
      <c r="J69" s="5" t="s">
        <v>735</v>
      </c>
      <c r="K69" s="15">
        <f t="shared" si="1"/>
        <v>0</v>
      </c>
      <c r="L69" s="15">
        <f t="shared" si="2"/>
        <v>221000</v>
      </c>
      <c r="M69" s="15">
        <f t="shared" si="3"/>
        <v>234000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8.0" customHeight="1">
      <c r="A70" s="5" t="s">
        <v>734</v>
      </c>
      <c r="B70" s="6">
        <v>2.0</v>
      </c>
      <c r="C70" s="5" t="s">
        <v>184</v>
      </c>
      <c r="D70" s="5" t="s">
        <v>227</v>
      </c>
      <c r="E70" s="12">
        <v>46224.43883101852</v>
      </c>
      <c r="F70" s="14">
        <v>280000.0</v>
      </c>
      <c r="G70" s="14">
        <v>8000.0</v>
      </c>
      <c r="H70" s="6">
        <v>1.0</v>
      </c>
      <c r="I70" s="14">
        <v>280000.0</v>
      </c>
      <c r="J70" s="5" t="s">
        <v>736</v>
      </c>
      <c r="K70" s="15">
        <f t="shared" si="1"/>
        <v>0</v>
      </c>
      <c r="L70" s="15">
        <f t="shared" si="2"/>
        <v>280000</v>
      </c>
      <c r="M70" s="15">
        <f t="shared" si="3"/>
        <v>288000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8.0" customHeight="1">
      <c r="A71" s="5" t="s">
        <v>734</v>
      </c>
      <c r="B71" s="6">
        <v>3.0</v>
      </c>
      <c r="C71" s="5" t="s">
        <v>264</v>
      </c>
      <c r="D71" s="5" t="s">
        <v>266</v>
      </c>
      <c r="E71" s="12">
        <v>46224.43883101852</v>
      </c>
      <c r="F71" s="14">
        <v>305000.0</v>
      </c>
      <c r="G71" s="14">
        <v>12000.0</v>
      </c>
      <c r="H71" s="6">
        <v>4.0</v>
      </c>
      <c r="I71" s="14">
        <v>1220000.0</v>
      </c>
      <c r="J71" s="5" t="s">
        <v>737</v>
      </c>
      <c r="K71" s="15">
        <f t="shared" si="1"/>
        <v>0</v>
      </c>
      <c r="L71" s="15">
        <f t="shared" si="2"/>
        <v>1220000</v>
      </c>
      <c r="M71" s="15">
        <f t="shared" si="3"/>
        <v>1232000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8.0" customHeight="1">
      <c r="A72" s="5" t="s">
        <v>734</v>
      </c>
      <c r="B72" s="6">
        <v>4.0</v>
      </c>
      <c r="C72" s="5" t="s">
        <v>163</v>
      </c>
      <c r="D72" s="5" t="s">
        <v>550</v>
      </c>
      <c r="E72" s="12">
        <v>46224.43883101852</v>
      </c>
      <c r="F72" s="14">
        <v>304000.0</v>
      </c>
      <c r="G72" s="14">
        <v>15000.0</v>
      </c>
      <c r="H72" s="6">
        <v>2.0</v>
      </c>
      <c r="I72" s="14">
        <v>608000.0</v>
      </c>
      <c r="J72" s="5" t="s">
        <v>738</v>
      </c>
      <c r="K72" s="15">
        <f t="shared" si="1"/>
        <v>0</v>
      </c>
      <c r="L72" s="15">
        <f t="shared" si="2"/>
        <v>608000</v>
      </c>
      <c r="M72" s="15">
        <f t="shared" si="3"/>
        <v>623000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8.0" customHeight="1">
      <c r="A73" s="5" t="s">
        <v>739</v>
      </c>
      <c r="B73" s="6">
        <v>1.0</v>
      </c>
      <c r="C73" s="5" t="s">
        <v>189</v>
      </c>
      <c r="D73" s="5" t="s">
        <v>191</v>
      </c>
      <c r="E73" s="12">
        <v>46099.75509259259</v>
      </c>
      <c r="F73" s="14">
        <v>350000.0</v>
      </c>
      <c r="G73" s="14">
        <v>21000.0</v>
      </c>
      <c r="H73" s="6">
        <v>2.0</v>
      </c>
      <c r="I73" s="14">
        <v>700000.0</v>
      </c>
      <c r="J73" s="5" t="s">
        <v>740</v>
      </c>
      <c r="K73" s="15">
        <f t="shared" si="1"/>
        <v>0</v>
      </c>
      <c r="L73" s="15">
        <f t="shared" si="2"/>
        <v>700000</v>
      </c>
      <c r="M73" s="15">
        <f t="shared" si="3"/>
        <v>721000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8.0" customHeight="1">
      <c r="A74" s="5" t="s">
        <v>739</v>
      </c>
      <c r="B74" s="6">
        <v>2.0</v>
      </c>
      <c r="C74" s="5" t="s">
        <v>184</v>
      </c>
      <c r="D74" s="5" t="s">
        <v>227</v>
      </c>
      <c r="E74" s="12">
        <v>46099.75509259259</v>
      </c>
      <c r="F74" s="14">
        <v>280000.0</v>
      </c>
      <c r="G74" s="14">
        <v>8000.0</v>
      </c>
      <c r="H74" s="6">
        <v>2.0</v>
      </c>
      <c r="I74" s="14">
        <v>560000.0</v>
      </c>
      <c r="J74" s="5" t="s">
        <v>741</v>
      </c>
      <c r="K74" s="15">
        <f t="shared" si="1"/>
        <v>0</v>
      </c>
      <c r="L74" s="15">
        <f t="shared" si="2"/>
        <v>560000</v>
      </c>
      <c r="M74" s="15">
        <f t="shared" si="3"/>
        <v>568000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8.0" customHeight="1">
      <c r="A75" s="5" t="s">
        <v>739</v>
      </c>
      <c r="B75" s="6">
        <v>3.0</v>
      </c>
      <c r="C75" s="5" t="s">
        <v>136</v>
      </c>
      <c r="D75" s="5" t="s">
        <v>445</v>
      </c>
      <c r="E75" s="12">
        <v>46099.75509259259</v>
      </c>
      <c r="F75" s="14">
        <v>790000.0</v>
      </c>
      <c r="G75" s="14">
        <v>32000.0</v>
      </c>
      <c r="H75" s="6">
        <v>4.0</v>
      </c>
      <c r="I75" s="14">
        <v>3160000.0</v>
      </c>
      <c r="J75" s="5" t="s">
        <v>742</v>
      </c>
      <c r="K75" s="15">
        <f t="shared" si="1"/>
        <v>0</v>
      </c>
      <c r="L75" s="15">
        <f t="shared" si="2"/>
        <v>3160000</v>
      </c>
      <c r="M75" s="15">
        <f t="shared" si="3"/>
        <v>3192000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8.0" customHeight="1">
      <c r="A76" s="5" t="s">
        <v>748</v>
      </c>
      <c r="B76" s="6">
        <v>1.0</v>
      </c>
      <c r="C76" s="5" t="s">
        <v>112</v>
      </c>
      <c r="D76" s="5" t="s">
        <v>304</v>
      </c>
      <c r="E76" s="12">
        <v>45618.58042824074</v>
      </c>
      <c r="F76" s="14">
        <v>220000.0</v>
      </c>
      <c r="G76" s="14">
        <v>11000.0</v>
      </c>
      <c r="H76" s="6">
        <v>4.0</v>
      </c>
      <c r="I76" s="14">
        <v>880000.0</v>
      </c>
      <c r="J76" s="5" t="s">
        <v>749</v>
      </c>
      <c r="K76" s="15">
        <f t="shared" si="1"/>
        <v>0</v>
      </c>
      <c r="L76" s="15">
        <f t="shared" si="2"/>
        <v>880000</v>
      </c>
      <c r="M76" s="15">
        <f t="shared" si="3"/>
        <v>891000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8.0" customHeight="1">
      <c r="A77" s="5" t="s">
        <v>748</v>
      </c>
      <c r="B77" s="6">
        <v>2.0</v>
      </c>
      <c r="C77" s="5" t="s">
        <v>336</v>
      </c>
      <c r="D77" s="5" t="s">
        <v>337</v>
      </c>
      <c r="E77" s="12">
        <v>45618.58042824074</v>
      </c>
      <c r="F77" s="14">
        <v>280000.0</v>
      </c>
      <c r="G77" s="14">
        <v>17000.0</v>
      </c>
      <c r="H77" s="6">
        <v>4.0</v>
      </c>
      <c r="I77" s="14">
        <v>1120000.0</v>
      </c>
      <c r="J77" s="5" t="s">
        <v>752</v>
      </c>
      <c r="K77" s="15">
        <f t="shared" si="1"/>
        <v>0</v>
      </c>
      <c r="L77" s="15">
        <f t="shared" si="2"/>
        <v>1120000</v>
      </c>
      <c r="M77" s="15">
        <f t="shared" si="3"/>
        <v>1137000</v>
      </c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8.0" customHeight="1">
      <c r="A78" s="5" t="s">
        <v>748</v>
      </c>
      <c r="B78" s="6">
        <v>3.0</v>
      </c>
      <c r="C78" s="5" t="s">
        <v>465</v>
      </c>
      <c r="D78" s="5" t="s">
        <v>304</v>
      </c>
      <c r="E78" s="12">
        <v>45618.58042824074</v>
      </c>
      <c r="F78" s="14">
        <v>125000.0</v>
      </c>
      <c r="G78" s="14">
        <v>4000.0</v>
      </c>
      <c r="H78" s="6">
        <v>2.0</v>
      </c>
      <c r="I78" s="14">
        <v>250000.0</v>
      </c>
      <c r="J78" s="5" t="s">
        <v>755</v>
      </c>
      <c r="K78" s="15">
        <f t="shared" si="1"/>
        <v>0</v>
      </c>
      <c r="L78" s="15">
        <f t="shared" si="2"/>
        <v>250000</v>
      </c>
      <c r="M78" s="15">
        <f t="shared" si="3"/>
        <v>254000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8.0" customHeight="1">
      <c r="A79" s="5" t="s">
        <v>757</v>
      </c>
      <c r="B79" s="6">
        <v>1.0</v>
      </c>
      <c r="C79" s="5" t="s">
        <v>507</v>
      </c>
      <c r="D79" s="5" t="s">
        <v>550</v>
      </c>
      <c r="E79" s="12">
        <v>45401.63853009259</v>
      </c>
      <c r="F79" s="14">
        <v>185000.0</v>
      </c>
      <c r="G79" s="14">
        <v>7000.0</v>
      </c>
      <c r="H79" s="6">
        <v>3.0</v>
      </c>
      <c r="I79" s="14">
        <v>555000.0</v>
      </c>
      <c r="J79" s="5" t="s">
        <v>758</v>
      </c>
      <c r="K79" s="15">
        <f t="shared" si="1"/>
        <v>0</v>
      </c>
      <c r="L79" s="15">
        <f t="shared" si="2"/>
        <v>555000</v>
      </c>
      <c r="M79" s="15">
        <f t="shared" si="3"/>
        <v>562000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8.0" customHeight="1">
      <c r="A80" s="5" t="s">
        <v>757</v>
      </c>
      <c r="B80" s="6">
        <v>2.0</v>
      </c>
      <c r="C80" s="5" t="s">
        <v>353</v>
      </c>
      <c r="D80" s="5" t="s">
        <v>156</v>
      </c>
      <c r="E80" s="12">
        <v>45401.63853009259</v>
      </c>
      <c r="F80" s="14">
        <v>125000.0</v>
      </c>
      <c r="G80" s="14">
        <v>6000.0</v>
      </c>
      <c r="H80" s="6">
        <v>3.0</v>
      </c>
      <c r="I80" s="14">
        <v>375000.0</v>
      </c>
      <c r="J80" s="5" t="s">
        <v>760</v>
      </c>
      <c r="K80" s="15">
        <f t="shared" si="1"/>
        <v>0</v>
      </c>
      <c r="L80" s="15">
        <f t="shared" si="2"/>
        <v>375000</v>
      </c>
      <c r="M80" s="15">
        <f t="shared" si="3"/>
        <v>381000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8.0" customHeight="1">
      <c r="A81" s="5" t="s">
        <v>761</v>
      </c>
      <c r="B81" s="6">
        <v>1.0</v>
      </c>
      <c r="C81" s="5" t="s">
        <v>241</v>
      </c>
      <c r="D81" s="5" t="s">
        <v>243</v>
      </c>
      <c r="E81" s="12">
        <v>45414.408842592595</v>
      </c>
      <c r="F81" s="14">
        <v>108000.0</v>
      </c>
      <c r="G81" s="14">
        <v>6000.0</v>
      </c>
      <c r="H81" s="6">
        <v>3.0</v>
      </c>
      <c r="I81" s="14">
        <v>324000.0</v>
      </c>
      <c r="J81" s="5" t="s">
        <v>762</v>
      </c>
      <c r="K81" s="15">
        <f t="shared" si="1"/>
        <v>0</v>
      </c>
      <c r="L81" s="15">
        <f t="shared" si="2"/>
        <v>324000</v>
      </c>
      <c r="M81" s="15">
        <f t="shared" si="3"/>
        <v>330000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8.0" customHeight="1">
      <c r="A82" s="5" t="s">
        <v>761</v>
      </c>
      <c r="B82" s="6">
        <v>2.0</v>
      </c>
      <c r="C82" s="5" t="s">
        <v>198</v>
      </c>
      <c r="D82" s="5" t="s">
        <v>178</v>
      </c>
      <c r="E82" s="12">
        <v>45414.408842592595</v>
      </c>
      <c r="F82" s="14">
        <v>173000.0</v>
      </c>
      <c r="G82" s="14">
        <v>5000.0</v>
      </c>
      <c r="H82" s="6">
        <v>4.0</v>
      </c>
      <c r="I82" s="14">
        <v>692000.0</v>
      </c>
      <c r="J82" s="5" t="s">
        <v>763</v>
      </c>
      <c r="K82" s="15">
        <f t="shared" si="1"/>
        <v>0</v>
      </c>
      <c r="L82" s="15">
        <f t="shared" si="2"/>
        <v>692000</v>
      </c>
      <c r="M82" s="15">
        <f t="shared" si="3"/>
        <v>697000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8.0" customHeight="1">
      <c r="A83" s="5" t="s">
        <v>761</v>
      </c>
      <c r="B83" s="6">
        <v>3.0</v>
      </c>
      <c r="C83" s="5" t="s">
        <v>264</v>
      </c>
      <c r="D83" s="5" t="s">
        <v>266</v>
      </c>
      <c r="E83" s="12">
        <v>45414.408842592595</v>
      </c>
      <c r="F83" s="14">
        <v>290000.0</v>
      </c>
      <c r="G83" s="14">
        <v>12000.0</v>
      </c>
      <c r="H83" s="6">
        <v>4.0</v>
      </c>
      <c r="I83" s="14">
        <v>1160000.0</v>
      </c>
      <c r="J83" s="5" t="s">
        <v>764</v>
      </c>
      <c r="K83" s="15">
        <f t="shared" si="1"/>
        <v>0</v>
      </c>
      <c r="L83" s="15">
        <f t="shared" si="2"/>
        <v>1160000</v>
      </c>
      <c r="M83" s="15">
        <f t="shared" si="3"/>
        <v>1172000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8.0" customHeight="1">
      <c r="A84" s="5" t="s">
        <v>761</v>
      </c>
      <c r="B84" s="6">
        <v>4.0</v>
      </c>
      <c r="C84" s="5" t="s">
        <v>112</v>
      </c>
      <c r="D84" s="5" t="s">
        <v>304</v>
      </c>
      <c r="E84" s="12">
        <v>45414.408842592595</v>
      </c>
      <c r="F84" s="14">
        <v>198000.0</v>
      </c>
      <c r="G84" s="14">
        <v>10000.0</v>
      </c>
      <c r="H84" s="6">
        <v>4.0</v>
      </c>
      <c r="I84" s="14">
        <v>792000.0</v>
      </c>
      <c r="J84" s="5" t="s">
        <v>765</v>
      </c>
      <c r="K84" s="15">
        <f t="shared" si="1"/>
        <v>0</v>
      </c>
      <c r="L84" s="15">
        <f t="shared" si="2"/>
        <v>792000</v>
      </c>
      <c r="M84" s="15">
        <f t="shared" si="3"/>
        <v>802000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8.0" customHeight="1">
      <c r="A85" s="5" t="s">
        <v>766</v>
      </c>
      <c r="B85" s="6">
        <v>1.0</v>
      </c>
      <c r="C85" s="5" t="s">
        <v>241</v>
      </c>
      <c r="D85" s="5" t="s">
        <v>243</v>
      </c>
      <c r="E85" s="12">
        <v>45385.7109837963</v>
      </c>
      <c r="F85" s="14">
        <v>120000.0</v>
      </c>
      <c r="G85" s="14">
        <v>7000.0</v>
      </c>
      <c r="H85" s="6">
        <v>4.0</v>
      </c>
      <c r="I85" s="14">
        <v>480000.0</v>
      </c>
      <c r="J85" s="5" t="s">
        <v>767</v>
      </c>
      <c r="K85" s="15">
        <f t="shared" si="1"/>
        <v>0</v>
      </c>
      <c r="L85" s="15">
        <f t="shared" si="2"/>
        <v>480000</v>
      </c>
      <c r="M85" s="15">
        <f t="shared" si="3"/>
        <v>487000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8.0" customHeight="1">
      <c r="A86" s="5" t="s">
        <v>766</v>
      </c>
      <c r="B86" s="6">
        <v>2.0</v>
      </c>
      <c r="C86" s="5" t="s">
        <v>122</v>
      </c>
      <c r="D86" s="5" t="s">
        <v>156</v>
      </c>
      <c r="E86" s="12">
        <v>45385.7109837963</v>
      </c>
      <c r="F86" s="14">
        <v>410000.0</v>
      </c>
      <c r="G86" s="14">
        <v>12000.0</v>
      </c>
      <c r="H86" s="6">
        <v>1.0</v>
      </c>
      <c r="I86" s="14">
        <v>410000.0</v>
      </c>
      <c r="J86" s="5" t="s">
        <v>768</v>
      </c>
      <c r="K86" s="15">
        <f t="shared" si="1"/>
        <v>0</v>
      </c>
      <c r="L86" s="15">
        <f t="shared" si="2"/>
        <v>410000</v>
      </c>
      <c r="M86" s="15">
        <f t="shared" si="3"/>
        <v>422000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8.0" customHeight="1">
      <c r="A87" s="5" t="s">
        <v>766</v>
      </c>
      <c r="B87" s="6">
        <v>3.0</v>
      </c>
      <c r="C87" s="5" t="s">
        <v>402</v>
      </c>
      <c r="D87" s="5" t="s">
        <v>615</v>
      </c>
      <c r="E87" s="12">
        <v>45385.7109837963</v>
      </c>
      <c r="F87" s="14">
        <v>399000.0</v>
      </c>
      <c r="G87" s="14">
        <v>16000.0</v>
      </c>
      <c r="H87" s="6">
        <v>4.0</v>
      </c>
      <c r="I87" s="14">
        <v>1596000.0</v>
      </c>
      <c r="J87" s="5" t="s">
        <v>769</v>
      </c>
      <c r="K87" s="15">
        <f t="shared" si="1"/>
        <v>0</v>
      </c>
      <c r="L87" s="15">
        <f t="shared" si="2"/>
        <v>1596000</v>
      </c>
      <c r="M87" s="15">
        <f t="shared" si="3"/>
        <v>1612000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8.0" customHeight="1">
      <c r="A88" s="5" t="s">
        <v>766</v>
      </c>
      <c r="B88" s="6">
        <v>4.0</v>
      </c>
      <c r="C88" s="5" t="s">
        <v>271</v>
      </c>
      <c r="D88" s="5" t="s">
        <v>770</v>
      </c>
      <c r="E88" s="12">
        <v>45385.7109837963</v>
      </c>
      <c r="F88" s="14">
        <v>175000.0</v>
      </c>
      <c r="G88" s="14">
        <v>9000.0</v>
      </c>
      <c r="H88" s="6">
        <v>1.0</v>
      </c>
      <c r="I88" s="14">
        <v>175000.0</v>
      </c>
      <c r="J88" s="5" t="s">
        <v>771</v>
      </c>
      <c r="K88" s="15">
        <f t="shared" si="1"/>
        <v>0</v>
      </c>
      <c r="L88" s="15">
        <f t="shared" si="2"/>
        <v>175000</v>
      </c>
      <c r="M88" s="15">
        <f t="shared" si="3"/>
        <v>184000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8.0" customHeight="1">
      <c r="A89" s="5" t="s">
        <v>772</v>
      </c>
      <c r="B89" s="6">
        <v>1.0</v>
      </c>
      <c r="C89" s="5" t="s">
        <v>424</v>
      </c>
      <c r="D89" s="5" t="s">
        <v>667</v>
      </c>
      <c r="E89" s="12">
        <v>46193.02260416667</v>
      </c>
      <c r="F89" s="14">
        <v>195000.0</v>
      </c>
      <c r="G89" s="14">
        <v>12000.0</v>
      </c>
      <c r="H89" s="6">
        <v>2.0</v>
      </c>
      <c r="I89" s="14">
        <v>390000.0</v>
      </c>
      <c r="J89" s="5" t="s">
        <v>773</v>
      </c>
      <c r="K89" s="15">
        <f t="shared" si="1"/>
        <v>0</v>
      </c>
      <c r="L89" s="15">
        <f t="shared" si="2"/>
        <v>390000</v>
      </c>
      <c r="M89" s="15">
        <f t="shared" si="3"/>
        <v>402000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8.0" customHeight="1">
      <c r="A90" s="5" t="s">
        <v>772</v>
      </c>
      <c r="B90" s="6">
        <v>2.0</v>
      </c>
      <c r="C90" s="5" t="s">
        <v>545</v>
      </c>
      <c r="D90" s="5" t="s">
        <v>589</v>
      </c>
      <c r="E90" s="12">
        <v>46193.02260416667</v>
      </c>
      <c r="F90" s="14">
        <v>260000.0</v>
      </c>
      <c r="G90" s="14">
        <v>8000.0</v>
      </c>
      <c r="H90" s="6">
        <v>4.0</v>
      </c>
      <c r="I90" s="14">
        <v>1040000.0</v>
      </c>
      <c r="J90" s="5" t="s">
        <v>774</v>
      </c>
      <c r="K90" s="15">
        <f t="shared" si="1"/>
        <v>0</v>
      </c>
      <c r="L90" s="15">
        <f t="shared" si="2"/>
        <v>1040000</v>
      </c>
      <c r="M90" s="15">
        <f t="shared" si="3"/>
        <v>1048000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8.0" customHeight="1">
      <c r="A91" s="5" t="s">
        <v>775</v>
      </c>
      <c r="B91" s="6">
        <v>1.0</v>
      </c>
      <c r="C91" s="5" t="s">
        <v>320</v>
      </c>
      <c r="D91" s="5" t="s">
        <v>321</v>
      </c>
      <c r="E91" s="12">
        <v>45989.83993055556</v>
      </c>
      <c r="F91" s="14">
        <v>180000.0</v>
      </c>
      <c r="G91" s="14">
        <v>7000.0</v>
      </c>
      <c r="H91" s="6">
        <v>1.0</v>
      </c>
      <c r="I91" s="14">
        <v>180000.0</v>
      </c>
      <c r="J91" s="5" t="s">
        <v>776</v>
      </c>
      <c r="K91" s="15">
        <f t="shared" si="1"/>
        <v>0</v>
      </c>
      <c r="L91" s="15">
        <f t="shared" si="2"/>
        <v>180000</v>
      </c>
      <c r="M91" s="15">
        <f t="shared" si="3"/>
        <v>187000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8.0" customHeight="1">
      <c r="A92" s="5" t="s">
        <v>775</v>
      </c>
      <c r="B92" s="6">
        <v>2.0</v>
      </c>
      <c r="C92" s="5" t="s">
        <v>242</v>
      </c>
      <c r="D92" s="5" t="s">
        <v>690</v>
      </c>
      <c r="E92" s="12">
        <v>45989.83993055556</v>
      </c>
      <c r="F92" s="14">
        <v>504000.0</v>
      </c>
      <c r="G92" s="14">
        <v>25000.0</v>
      </c>
      <c r="H92" s="6">
        <v>3.0</v>
      </c>
      <c r="I92" s="14">
        <v>1512000.0</v>
      </c>
      <c r="J92" s="5" t="s">
        <v>777</v>
      </c>
      <c r="K92" s="15">
        <f t="shared" si="1"/>
        <v>0</v>
      </c>
      <c r="L92" s="15">
        <f t="shared" si="2"/>
        <v>1512000</v>
      </c>
      <c r="M92" s="15">
        <f t="shared" si="3"/>
        <v>1537000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8.0" customHeight="1">
      <c r="A93" s="5" t="s">
        <v>778</v>
      </c>
      <c r="B93" s="6">
        <v>1.0</v>
      </c>
      <c r="C93" s="5" t="s">
        <v>43</v>
      </c>
      <c r="D93" s="5" t="s">
        <v>321</v>
      </c>
      <c r="E93" s="12">
        <v>45724.770104166666</v>
      </c>
      <c r="F93" s="14">
        <v>450000.0</v>
      </c>
      <c r="G93" s="14">
        <v>27000.0</v>
      </c>
      <c r="H93" s="6">
        <v>3.0</v>
      </c>
      <c r="I93" s="14">
        <v>1350000.0</v>
      </c>
      <c r="J93" s="5" t="s">
        <v>779</v>
      </c>
      <c r="K93" s="15">
        <f t="shared" si="1"/>
        <v>0</v>
      </c>
      <c r="L93" s="15">
        <f t="shared" si="2"/>
        <v>1350000</v>
      </c>
      <c r="M93" s="15">
        <f t="shared" si="3"/>
        <v>1377000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8.0" customHeight="1">
      <c r="A94" s="5" t="s">
        <v>780</v>
      </c>
      <c r="B94" s="6">
        <v>1.0</v>
      </c>
      <c r="C94" s="5" t="s">
        <v>402</v>
      </c>
      <c r="D94" s="5" t="s">
        <v>615</v>
      </c>
      <c r="E94" s="12">
        <v>45521.075104166666</v>
      </c>
      <c r="F94" s="14">
        <v>420000.0</v>
      </c>
      <c r="G94" s="14">
        <v>13000.0</v>
      </c>
      <c r="H94" s="6">
        <v>1.0</v>
      </c>
      <c r="I94" s="14">
        <v>420000.0</v>
      </c>
      <c r="J94" s="5" t="s">
        <v>781</v>
      </c>
      <c r="K94" s="15">
        <f t="shared" si="1"/>
        <v>0</v>
      </c>
      <c r="L94" s="15">
        <f t="shared" si="2"/>
        <v>420000</v>
      </c>
      <c r="M94" s="15">
        <f t="shared" si="3"/>
        <v>433000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8.0" customHeight="1">
      <c r="A95" s="5" t="s">
        <v>780</v>
      </c>
      <c r="B95" s="6">
        <v>2.0</v>
      </c>
      <c r="C95" s="5" t="s">
        <v>271</v>
      </c>
      <c r="D95" s="5" t="s">
        <v>770</v>
      </c>
      <c r="E95" s="12">
        <v>45521.075104166666</v>
      </c>
      <c r="F95" s="14">
        <v>166000.0</v>
      </c>
      <c r="G95" s="14">
        <v>7000.0</v>
      </c>
      <c r="H95" s="6">
        <v>2.0</v>
      </c>
      <c r="I95" s="14">
        <v>332000.0</v>
      </c>
      <c r="J95" s="5" t="s">
        <v>782</v>
      </c>
      <c r="K95" s="15">
        <f t="shared" si="1"/>
        <v>0</v>
      </c>
      <c r="L95" s="15">
        <f t="shared" si="2"/>
        <v>332000</v>
      </c>
      <c r="M95" s="15">
        <f t="shared" si="3"/>
        <v>339000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8.0" customHeight="1">
      <c r="A96" s="5" t="s">
        <v>783</v>
      </c>
      <c r="B96" s="6">
        <v>1.0</v>
      </c>
      <c r="C96" s="5" t="s">
        <v>507</v>
      </c>
      <c r="D96" s="5" t="s">
        <v>550</v>
      </c>
      <c r="E96" s="12">
        <v>45421.327997685185</v>
      </c>
      <c r="F96" s="14">
        <v>194000.0</v>
      </c>
      <c r="G96" s="14">
        <v>10000.0</v>
      </c>
      <c r="H96" s="6">
        <v>4.0</v>
      </c>
      <c r="I96" s="14">
        <v>776000.0</v>
      </c>
      <c r="J96" s="5" t="s">
        <v>784</v>
      </c>
      <c r="K96" s="15">
        <f t="shared" si="1"/>
        <v>0</v>
      </c>
      <c r="L96" s="15">
        <f t="shared" si="2"/>
        <v>776000</v>
      </c>
      <c r="M96" s="15">
        <f t="shared" si="3"/>
        <v>786000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8.0" customHeight="1">
      <c r="A97" s="5" t="s">
        <v>783</v>
      </c>
      <c r="B97" s="6">
        <v>2.0</v>
      </c>
      <c r="C97" s="5" t="s">
        <v>163</v>
      </c>
      <c r="D97" s="5" t="s">
        <v>550</v>
      </c>
      <c r="E97" s="12">
        <v>45421.327997685185</v>
      </c>
      <c r="F97" s="14">
        <v>320000.0</v>
      </c>
      <c r="G97" s="14">
        <v>19000.0</v>
      </c>
      <c r="H97" s="6">
        <v>4.0</v>
      </c>
      <c r="I97" s="14">
        <v>1280000.0</v>
      </c>
      <c r="J97" s="5" t="s">
        <v>785</v>
      </c>
      <c r="K97" s="15">
        <f t="shared" si="1"/>
        <v>0</v>
      </c>
      <c r="L97" s="15">
        <f t="shared" si="2"/>
        <v>1280000</v>
      </c>
      <c r="M97" s="15">
        <f t="shared" si="3"/>
        <v>1299000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8.0" customHeight="1">
      <c r="A98" s="5" t="s">
        <v>786</v>
      </c>
      <c r="B98" s="6">
        <v>1.0</v>
      </c>
      <c r="C98" s="5" t="s">
        <v>283</v>
      </c>
      <c r="D98" s="5" t="s">
        <v>286</v>
      </c>
      <c r="E98" s="12">
        <v>45919.69678240741</v>
      </c>
      <c r="F98" s="14">
        <v>81000.0</v>
      </c>
      <c r="G98" s="14">
        <v>2000.0</v>
      </c>
      <c r="H98" s="6">
        <v>2.0</v>
      </c>
      <c r="I98" s="14">
        <v>162000.0</v>
      </c>
      <c r="J98" s="5" t="s">
        <v>787</v>
      </c>
      <c r="K98" s="15">
        <f t="shared" si="1"/>
        <v>0</v>
      </c>
      <c r="L98" s="15">
        <f t="shared" si="2"/>
        <v>162000</v>
      </c>
      <c r="M98" s="15">
        <f t="shared" si="3"/>
        <v>164000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8.0" customHeight="1">
      <c r="A99" s="5" t="s">
        <v>786</v>
      </c>
      <c r="B99" s="6">
        <v>2.0</v>
      </c>
      <c r="C99" s="5" t="s">
        <v>257</v>
      </c>
      <c r="D99" s="5" t="s">
        <v>715</v>
      </c>
      <c r="E99" s="12">
        <v>45919.69678240741</v>
      </c>
      <c r="F99" s="14">
        <v>225000.0</v>
      </c>
      <c r="G99" s="14">
        <v>9000.0</v>
      </c>
      <c r="H99" s="6">
        <v>2.0</v>
      </c>
      <c r="I99" s="14">
        <v>450000.0</v>
      </c>
      <c r="J99" s="5" t="s">
        <v>788</v>
      </c>
      <c r="K99" s="15">
        <f t="shared" si="1"/>
        <v>0</v>
      </c>
      <c r="L99" s="15">
        <f t="shared" si="2"/>
        <v>450000</v>
      </c>
      <c r="M99" s="15">
        <f t="shared" si="3"/>
        <v>459000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8.0" customHeight="1">
      <c r="A100" s="5" t="s">
        <v>786</v>
      </c>
      <c r="B100" s="6">
        <v>3.0</v>
      </c>
      <c r="C100" s="5" t="s">
        <v>517</v>
      </c>
      <c r="D100" s="5" t="s">
        <v>602</v>
      </c>
      <c r="E100" s="12">
        <v>45919.69678240741</v>
      </c>
      <c r="F100" s="14">
        <v>120000.0</v>
      </c>
      <c r="G100" s="14">
        <v>6000.0</v>
      </c>
      <c r="H100" s="6">
        <v>4.0</v>
      </c>
      <c r="I100" s="14">
        <v>480000.0</v>
      </c>
      <c r="J100" s="5" t="s">
        <v>789</v>
      </c>
      <c r="K100" s="15">
        <f t="shared" si="1"/>
        <v>0</v>
      </c>
      <c r="L100" s="15">
        <f t="shared" si="2"/>
        <v>480000</v>
      </c>
      <c r="M100" s="15">
        <f t="shared" si="3"/>
        <v>486000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8.0" customHeight="1">
      <c r="A101" s="5" t="s">
        <v>790</v>
      </c>
      <c r="B101" s="6">
        <v>1.0</v>
      </c>
      <c r="C101" s="5" t="s">
        <v>136</v>
      </c>
      <c r="D101" s="5" t="s">
        <v>445</v>
      </c>
      <c r="E101" s="12">
        <v>45770.36371527778</v>
      </c>
      <c r="F101" s="14">
        <v>751000.0</v>
      </c>
      <c r="G101" s="14">
        <v>45000.0</v>
      </c>
      <c r="H101" s="6">
        <v>1.0</v>
      </c>
      <c r="I101" s="14">
        <v>751000.0</v>
      </c>
      <c r="J101" s="5" t="s">
        <v>791</v>
      </c>
      <c r="K101" s="15">
        <f t="shared" si="1"/>
        <v>0</v>
      </c>
      <c r="L101" s="15">
        <f t="shared" si="2"/>
        <v>751000</v>
      </c>
      <c r="M101" s="15">
        <f t="shared" si="3"/>
        <v>796000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8.0" customHeight="1">
      <c r="A102" s="5" t="s">
        <v>790</v>
      </c>
      <c r="B102" s="6">
        <v>2.0</v>
      </c>
      <c r="C102" s="5" t="s">
        <v>175</v>
      </c>
      <c r="D102" s="5" t="s">
        <v>178</v>
      </c>
      <c r="E102" s="12">
        <v>45770.36371527778</v>
      </c>
      <c r="F102" s="14">
        <v>122000.0</v>
      </c>
      <c r="G102" s="14">
        <v>4000.0</v>
      </c>
      <c r="H102" s="6">
        <v>4.0</v>
      </c>
      <c r="I102" s="14">
        <v>488000.0</v>
      </c>
      <c r="J102" s="5" t="s">
        <v>792</v>
      </c>
      <c r="K102" s="15">
        <f t="shared" si="1"/>
        <v>0</v>
      </c>
      <c r="L102" s="15">
        <f t="shared" si="2"/>
        <v>488000</v>
      </c>
      <c r="M102" s="15">
        <f t="shared" si="3"/>
        <v>492000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8.0" customHeight="1">
      <c r="A103" s="5" t="s">
        <v>790</v>
      </c>
      <c r="B103" s="6">
        <v>3.0</v>
      </c>
      <c r="C103" s="5" t="s">
        <v>320</v>
      </c>
      <c r="D103" s="5" t="s">
        <v>321</v>
      </c>
      <c r="E103" s="12">
        <v>45770.36371527778</v>
      </c>
      <c r="F103" s="14">
        <v>180000.0</v>
      </c>
      <c r="G103" s="14">
        <v>7000.0</v>
      </c>
      <c r="H103" s="6">
        <v>1.0</v>
      </c>
      <c r="I103" s="14">
        <v>180000.0</v>
      </c>
      <c r="J103" s="5" t="s">
        <v>795</v>
      </c>
      <c r="K103" s="15">
        <f t="shared" si="1"/>
        <v>0</v>
      </c>
      <c r="L103" s="15">
        <f t="shared" si="2"/>
        <v>180000</v>
      </c>
      <c r="M103" s="15">
        <f t="shared" si="3"/>
        <v>187000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8.0" customHeight="1">
      <c r="A104" s="5" t="s">
        <v>793</v>
      </c>
      <c r="B104" s="6">
        <v>1.0</v>
      </c>
      <c r="C104" s="5" t="s">
        <v>527</v>
      </c>
      <c r="D104" s="5" t="s">
        <v>227</v>
      </c>
      <c r="E104" s="12">
        <v>45838.128657407404</v>
      </c>
      <c r="F104" s="14">
        <v>155000.0</v>
      </c>
      <c r="G104" s="14">
        <v>8000.0</v>
      </c>
      <c r="H104" s="6">
        <v>3.0</v>
      </c>
      <c r="I104" s="14">
        <v>465000.0</v>
      </c>
      <c r="J104" s="5" t="s">
        <v>798</v>
      </c>
      <c r="K104" s="15">
        <f t="shared" si="1"/>
        <v>0</v>
      </c>
      <c r="L104" s="15">
        <f t="shared" si="2"/>
        <v>465000</v>
      </c>
      <c r="M104" s="15">
        <f t="shared" si="3"/>
        <v>473000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8.0" customHeight="1">
      <c r="A105" s="5" t="s">
        <v>793</v>
      </c>
      <c r="B105" s="6">
        <v>2.0</v>
      </c>
      <c r="C105" s="5" t="s">
        <v>376</v>
      </c>
      <c r="D105" s="5" t="s">
        <v>800</v>
      </c>
      <c r="E105" s="12">
        <v>45838.128657407404</v>
      </c>
      <c r="F105" s="14">
        <v>144000.0</v>
      </c>
      <c r="G105" s="14">
        <v>9000.0</v>
      </c>
      <c r="H105" s="6">
        <v>2.0</v>
      </c>
      <c r="I105" s="14">
        <v>288000.0</v>
      </c>
      <c r="J105" s="5" t="s">
        <v>801</v>
      </c>
      <c r="K105" s="15">
        <f t="shared" si="1"/>
        <v>0</v>
      </c>
      <c r="L105" s="15">
        <f t="shared" si="2"/>
        <v>288000</v>
      </c>
      <c r="M105" s="15">
        <f t="shared" si="3"/>
        <v>297000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8.0" customHeight="1">
      <c r="A106" s="5" t="s">
        <v>793</v>
      </c>
      <c r="B106" s="6">
        <v>3.0</v>
      </c>
      <c r="C106" s="5" t="s">
        <v>517</v>
      </c>
      <c r="D106" s="5" t="s">
        <v>602</v>
      </c>
      <c r="E106" s="12">
        <v>45838.128657407404</v>
      </c>
      <c r="F106" s="14">
        <v>120000.0</v>
      </c>
      <c r="G106" s="14">
        <v>4000.0</v>
      </c>
      <c r="H106" s="6">
        <v>4.0</v>
      </c>
      <c r="I106" s="14">
        <v>480000.0</v>
      </c>
      <c r="J106" s="5" t="s">
        <v>803</v>
      </c>
      <c r="K106" s="15">
        <f t="shared" si="1"/>
        <v>0</v>
      </c>
      <c r="L106" s="15">
        <f t="shared" si="2"/>
        <v>480000</v>
      </c>
      <c r="M106" s="15">
        <f t="shared" si="3"/>
        <v>484000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8.0" customHeight="1">
      <c r="A107" s="5" t="s">
        <v>793</v>
      </c>
      <c r="B107" s="6">
        <v>4.0</v>
      </c>
      <c r="C107" s="5" t="s">
        <v>177</v>
      </c>
      <c r="D107" s="5" t="s">
        <v>602</v>
      </c>
      <c r="E107" s="12">
        <v>45838.128657407404</v>
      </c>
      <c r="F107" s="14">
        <v>145000.0</v>
      </c>
      <c r="G107" s="14">
        <v>6000.0</v>
      </c>
      <c r="H107" s="6">
        <v>3.0</v>
      </c>
      <c r="I107" s="14">
        <v>435000.0</v>
      </c>
      <c r="J107" s="5" t="s">
        <v>805</v>
      </c>
      <c r="K107" s="15">
        <f t="shared" si="1"/>
        <v>0</v>
      </c>
      <c r="L107" s="15">
        <f t="shared" si="2"/>
        <v>435000</v>
      </c>
      <c r="M107" s="15">
        <f t="shared" si="3"/>
        <v>441000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8.0" customHeight="1">
      <c r="A108" s="5" t="s">
        <v>794</v>
      </c>
      <c r="B108" s="6">
        <v>1.0</v>
      </c>
      <c r="C108" s="5" t="s">
        <v>376</v>
      </c>
      <c r="D108" s="5" t="s">
        <v>800</v>
      </c>
      <c r="E108" s="12">
        <v>45634.599328703705</v>
      </c>
      <c r="F108" s="14">
        <v>160000.0</v>
      </c>
      <c r="G108" s="14">
        <v>8000.0</v>
      </c>
      <c r="H108" s="6">
        <v>4.0</v>
      </c>
      <c r="I108" s="14">
        <v>640000.0</v>
      </c>
      <c r="J108" s="5" t="s">
        <v>808</v>
      </c>
      <c r="K108" s="15">
        <f t="shared" si="1"/>
        <v>0</v>
      </c>
      <c r="L108" s="15">
        <f t="shared" si="2"/>
        <v>640000</v>
      </c>
      <c r="M108" s="15">
        <f t="shared" si="3"/>
        <v>648000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8.0" customHeight="1">
      <c r="A109" s="5" t="s">
        <v>794</v>
      </c>
      <c r="B109" s="6">
        <v>2.0</v>
      </c>
      <c r="C109" s="5" t="s">
        <v>507</v>
      </c>
      <c r="D109" s="5" t="s">
        <v>550</v>
      </c>
      <c r="E109" s="12">
        <v>45634.599328703705</v>
      </c>
      <c r="F109" s="14">
        <v>185000.0</v>
      </c>
      <c r="G109" s="14">
        <v>11000.0</v>
      </c>
      <c r="H109" s="6">
        <v>1.0</v>
      </c>
      <c r="I109" s="14">
        <v>185000.0</v>
      </c>
      <c r="J109" s="5" t="s">
        <v>811</v>
      </c>
      <c r="K109" s="15">
        <f t="shared" si="1"/>
        <v>0</v>
      </c>
      <c r="L109" s="15">
        <f t="shared" si="2"/>
        <v>185000</v>
      </c>
      <c r="M109" s="15">
        <f t="shared" si="3"/>
        <v>196000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8.0" customHeight="1">
      <c r="A110" s="5" t="s">
        <v>794</v>
      </c>
      <c r="B110" s="6">
        <v>3.0</v>
      </c>
      <c r="C110" s="5" t="s">
        <v>136</v>
      </c>
      <c r="D110" s="5" t="s">
        <v>445</v>
      </c>
      <c r="E110" s="12">
        <v>45634.599328703705</v>
      </c>
      <c r="F110" s="14">
        <v>830000.0</v>
      </c>
      <c r="G110" s="14">
        <v>25000.0</v>
      </c>
      <c r="H110" s="6">
        <v>4.0</v>
      </c>
      <c r="I110" s="14">
        <v>3320000.0</v>
      </c>
      <c r="J110" s="5" t="s">
        <v>814</v>
      </c>
      <c r="K110" s="15">
        <f t="shared" si="1"/>
        <v>0</v>
      </c>
      <c r="L110" s="15">
        <f t="shared" si="2"/>
        <v>3320000</v>
      </c>
      <c r="M110" s="15">
        <f t="shared" si="3"/>
        <v>3345000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8.0" customHeight="1">
      <c r="A111" s="5" t="s">
        <v>796</v>
      </c>
      <c r="B111" s="6">
        <v>1.0</v>
      </c>
      <c r="C111" s="5" t="s">
        <v>517</v>
      </c>
      <c r="D111" s="5" t="s">
        <v>602</v>
      </c>
      <c r="E111" s="12">
        <v>45444.36518518518</v>
      </c>
      <c r="F111" s="14">
        <v>126000.0</v>
      </c>
      <c r="G111" s="14">
        <v>5000.0</v>
      </c>
      <c r="H111" s="6">
        <v>4.0</v>
      </c>
      <c r="I111" s="14">
        <v>504000.0</v>
      </c>
      <c r="J111" s="5" t="s">
        <v>817</v>
      </c>
      <c r="K111" s="15">
        <f t="shared" si="1"/>
        <v>0</v>
      </c>
      <c r="L111" s="15">
        <f t="shared" si="2"/>
        <v>504000</v>
      </c>
      <c r="M111" s="15">
        <f t="shared" si="3"/>
        <v>509000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8.0" customHeight="1">
      <c r="A112" s="5" t="s">
        <v>797</v>
      </c>
      <c r="B112" s="6">
        <v>1.0</v>
      </c>
      <c r="C112" s="5" t="s">
        <v>402</v>
      </c>
      <c r="D112" s="5" t="s">
        <v>615</v>
      </c>
      <c r="E112" s="12">
        <v>45967.79966435185</v>
      </c>
      <c r="F112" s="14">
        <v>420000.0</v>
      </c>
      <c r="G112" s="14">
        <v>21000.0</v>
      </c>
      <c r="H112" s="6">
        <v>1.0</v>
      </c>
      <c r="I112" s="14">
        <v>420000.0</v>
      </c>
      <c r="J112" s="5" t="s">
        <v>820</v>
      </c>
      <c r="K112" s="15">
        <f t="shared" si="1"/>
        <v>0</v>
      </c>
      <c r="L112" s="15">
        <f t="shared" si="2"/>
        <v>420000</v>
      </c>
      <c r="M112" s="15">
        <f t="shared" si="3"/>
        <v>441000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8.0" customHeight="1">
      <c r="A113" s="5" t="s">
        <v>797</v>
      </c>
      <c r="B113" s="6">
        <v>2.0</v>
      </c>
      <c r="C113" s="5" t="s">
        <v>242</v>
      </c>
      <c r="D113" s="5" t="s">
        <v>690</v>
      </c>
      <c r="E113" s="12">
        <v>45967.79966435185</v>
      </c>
      <c r="F113" s="14">
        <v>532000.0</v>
      </c>
      <c r="G113" s="14">
        <v>32000.0</v>
      </c>
      <c r="H113" s="6">
        <v>3.0</v>
      </c>
      <c r="I113" s="14">
        <v>1596000.0</v>
      </c>
      <c r="J113" s="5" t="s">
        <v>822</v>
      </c>
      <c r="K113" s="15">
        <f t="shared" si="1"/>
        <v>0</v>
      </c>
      <c r="L113" s="15">
        <f t="shared" si="2"/>
        <v>1596000</v>
      </c>
      <c r="M113" s="15">
        <f t="shared" si="3"/>
        <v>1628000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8.0" customHeight="1">
      <c r="A114" s="5" t="s">
        <v>799</v>
      </c>
      <c r="B114" s="6">
        <v>1.0</v>
      </c>
      <c r="C114" s="5" t="s">
        <v>376</v>
      </c>
      <c r="D114" s="5" t="s">
        <v>800</v>
      </c>
      <c r="E114" s="12">
        <v>45302.27307870371</v>
      </c>
      <c r="F114" s="14">
        <v>168000.0</v>
      </c>
      <c r="G114" s="14">
        <v>5000.0</v>
      </c>
      <c r="H114" s="6">
        <v>4.0</v>
      </c>
      <c r="I114" s="14">
        <v>672000.0</v>
      </c>
      <c r="J114" s="5" t="s">
        <v>825</v>
      </c>
      <c r="K114" s="15">
        <f t="shared" si="1"/>
        <v>0</v>
      </c>
      <c r="L114" s="15">
        <f t="shared" si="2"/>
        <v>672000</v>
      </c>
      <c r="M114" s="15">
        <f t="shared" si="3"/>
        <v>677000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8.0" customHeight="1">
      <c r="A115" s="5" t="s">
        <v>799</v>
      </c>
      <c r="B115" s="6">
        <v>2.0</v>
      </c>
      <c r="C115" s="5" t="s">
        <v>281</v>
      </c>
      <c r="D115" s="5" t="s">
        <v>729</v>
      </c>
      <c r="E115" s="12">
        <v>45302.27307870371</v>
      </c>
      <c r="F115" s="14">
        <v>230000.0</v>
      </c>
      <c r="G115" s="14">
        <v>9000.0</v>
      </c>
      <c r="H115" s="6">
        <v>1.0</v>
      </c>
      <c r="I115" s="14">
        <v>230000.0</v>
      </c>
      <c r="J115" s="5" t="s">
        <v>828</v>
      </c>
      <c r="K115" s="15">
        <f t="shared" si="1"/>
        <v>0</v>
      </c>
      <c r="L115" s="15">
        <f t="shared" si="2"/>
        <v>230000</v>
      </c>
      <c r="M115" s="15">
        <f t="shared" si="3"/>
        <v>239000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8.0" customHeight="1">
      <c r="A116" s="5" t="s">
        <v>802</v>
      </c>
      <c r="B116" s="6">
        <v>1.0</v>
      </c>
      <c r="C116" s="5" t="s">
        <v>222</v>
      </c>
      <c r="D116" s="5" t="s">
        <v>414</v>
      </c>
      <c r="E116" s="12">
        <v>46062.87898148148</v>
      </c>
      <c r="F116" s="14">
        <v>257000.0</v>
      </c>
      <c r="G116" s="14">
        <v>13000.0</v>
      </c>
      <c r="H116" s="6">
        <v>2.0</v>
      </c>
      <c r="I116" s="14">
        <v>514000.0</v>
      </c>
      <c r="J116" s="5" t="s">
        <v>831</v>
      </c>
      <c r="K116" s="15">
        <f t="shared" si="1"/>
        <v>0</v>
      </c>
      <c r="L116" s="15">
        <f t="shared" si="2"/>
        <v>514000</v>
      </c>
      <c r="M116" s="15">
        <f t="shared" si="3"/>
        <v>527000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8.0" customHeight="1">
      <c r="A117" s="5" t="s">
        <v>802</v>
      </c>
      <c r="B117" s="6">
        <v>2.0</v>
      </c>
      <c r="C117" s="5" t="s">
        <v>489</v>
      </c>
      <c r="D117" s="5" t="s">
        <v>445</v>
      </c>
      <c r="E117" s="12">
        <v>46062.87898148148</v>
      </c>
      <c r="F117" s="14">
        <v>86000.0</v>
      </c>
      <c r="G117" s="14">
        <v>5000.0</v>
      </c>
      <c r="H117" s="6">
        <v>2.0</v>
      </c>
      <c r="I117" s="14">
        <v>172000.0</v>
      </c>
      <c r="J117" s="5" t="s">
        <v>834</v>
      </c>
      <c r="K117" s="15">
        <f t="shared" si="1"/>
        <v>0</v>
      </c>
      <c r="L117" s="15">
        <f t="shared" si="2"/>
        <v>172000</v>
      </c>
      <c r="M117" s="15">
        <f t="shared" si="3"/>
        <v>177000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8.0" customHeight="1">
      <c r="A118" s="5" t="s">
        <v>802</v>
      </c>
      <c r="B118" s="6">
        <v>3.0</v>
      </c>
      <c r="C118" s="5" t="s">
        <v>210</v>
      </c>
      <c r="D118" s="5" t="s">
        <v>589</v>
      </c>
      <c r="E118" s="12">
        <v>46062.87898148148</v>
      </c>
      <c r="F118" s="14">
        <v>95000.0</v>
      </c>
      <c r="G118" s="14">
        <v>3000.0</v>
      </c>
      <c r="H118" s="6">
        <v>3.0</v>
      </c>
      <c r="I118" s="14">
        <v>285000.0</v>
      </c>
      <c r="J118" s="5" t="s">
        <v>837</v>
      </c>
      <c r="K118" s="15">
        <f t="shared" si="1"/>
        <v>0</v>
      </c>
      <c r="L118" s="15">
        <f t="shared" si="2"/>
        <v>285000</v>
      </c>
      <c r="M118" s="15">
        <f t="shared" si="3"/>
        <v>288000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8.0" customHeight="1">
      <c r="A119" s="5" t="s">
        <v>804</v>
      </c>
      <c r="B119" s="6">
        <v>1.0</v>
      </c>
      <c r="C119" s="5" t="s">
        <v>43</v>
      </c>
      <c r="D119" s="5" t="s">
        <v>321</v>
      </c>
      <c r="E119" s="12">
        <v>45402.03258101852</v>
      </c>
      <c r="F119" s="14">
        <v>450000.0</v>
      </c>
      <c r="G119" s="14">
        <v>18000.0</v>
      </c>
      <c r="H119" s="6">
        <v>2.0</v>
      </c>
      <c r="I119" s="14">
        <v>900000.0</v>
      </c>
      <c r="J119" s="5" t="s">
        <v>840</v>
      </c>
      <c r="K119" s="15">
        <f t="shared" si="1"/>
        <v>0</v>
      </c>
      <c r="L119" s="15">
        <f t="shared" si="2"/>
        <v>900000</v>
      </c>
      <c r="M119" s="15">
        <f t="shared" si="3"/>
        <v>918000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8.0" customHeight="1">
      <c r="A120" s="5" t="s">
        <v>806</v>
      </c>
      <c r="B120" s="6">
        <v>1.0</v>
      </c>
      <c r="C120" s="5" t="s">
        <v>198</v>
      </c>
      <c r="D120" s="5" t="s">
        <v>178</v>
      </c>
      <c r="E120" s="12">
        <v>45547.63165509259</v>
      </c>
      <c r="F120" s="14">
        <v>149000.0</v>
      </c>
      <c r="G120" s="14">
        <v>7000.0</v>
      </c>
      <c r="H120" s="6">
        <v>3.0</v>
      </c>
      <c r="I120" s="14">
        <v>447000.0</v>
      </c>
      <c r="J120" s="5" t="s">
        <v>843</v>
      </c>
      <c r="K120" s="15">
        <f t="shared" si="1"/>
        <v>0</v>
      </c>
      <c r="L120" s="15">
        <f t="shared" si="2"/>
        <v>447000</v>
      </c>
      <c r="M120" s="15">
        <f t="shared" si="3"/>
        <v>454000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8.0" customHeight="1">
      <c r="A121" s="5" t="s">
        <v>807</v>
      </c>
      <c r="B121" s="6">
        <v>1.0</v>
      </c>
      <c r="C121" s="5" t="s">
        <v>489</v>
      </c>
      <c r="D121" s="5" t="s">
        <v>445</v>
      </c>
      <c r="E121" s="12">
        <v>45861.39114583333</v>
      </c>
      <c r="F121" s="14">
        <v>86000.0</v>
      </c>
      <c r="G121" s="14">
        <v>5000.0</v>
      </c>
      <c r="H121" s="6">
        <v>1.0</v>
      </c>
      <c r="I121" s="14">
        <v>86000.0</v>
      </c>
      <c r="J121" s="5" t="s">
        <v>846</v>
      </c>
      <c r="K121" s="15">
        <f t="shared" si="1"/>
        <v>0</v>
      </c>
      <c r="L121" s="15">
        <f t="shared" si="2"/>
        <v>86000</v>
      </c>
      <c r="M121" s="15">
        <f t="shared" si="3"/>
        <v>91000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8.0" customHeight="1">
      <c r="A122" s="5" t="s">
        <v>807</v>
      </c>
      <c r="B122" s="6">
        <v>2.0</v>
      </c>
      <c r="C122" s="5" t="s">
        <v>184</v>
      </c>
      <c r="D122" s="5" t="s">
        <v>227</v>
      </c>
      <c r="E122" s="12">
        <v>45861.39114583333</v>
      </c>
      <c r="F122" s="14">
        <v>294000.0</v>
      </c>
      <c r="G122" s="14">
        <v>9000.0</v>
      </c>
      <c r="H122" s="6">
        <v>2.0</v>
      </c>
      <c r="I122" s="14">
        <v>588000.0</v>
      </c>
      <c r="J122" s="5" t="s">
        <v>849</v>
      </c>
      <c r="K122" s="15">
        <f t="shared" si="1"/>
        <v>0</v>
      </c>
      <c r="L122" s="15">
        <f t="shared" si="2"/>
        <v>588000</v>
      </c>
      <c r="M122" s="15">
        <f t="shared" si="3"/>
        <v>597000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8.0" customHeight="1">
      <c r="A123" s="5" t="s">
        <v>809</v>
      </c>
      <c r="B123" s="6">
        <v>1.0</v>
      </c>
      <c r="C123" s="5" t="s">
        <v>376</v>
      </c>
      <c r="D123" s="5" t="s">
        <v>800</v>
      </c>
      <c r="E123" s="12">
        <v>45379.959074074075</v>
      </c>
      <c r="F123" s="14">
        <v>144000.0</v>
      </c>
      <c r="G123" s="14">
        <v>6000.0</v>
      </c>
      <c r="H123" s="6">
        <v>4.0</v>
      </c>
      <c r="I123" s="14">
        <v>576000.0</v>
      </c>
      <c r="J123" s="5" t="s">
        <v>852</v>
      </c>
      <c r="K123" s="15">
        <f t="shared" si="1"/>
        <v>0</v>
      </c>
      <c r="L123" s="15">
        <f t="shared" si="2"/>
        <v>576000</v>
      </c>
      <c r="M123" s="15">
        <f t="shared" si="3"/>
        <v>582000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8.0" customHeight="1">
      <c r="A124" s="5" t="s">
        <v>810</v>
      </c>
      <c r="B124" s="6">
        <v>1.0</v>
      </c>
      <c r="C124" s="5" t="s">
        <v>507</v>
      </c>
      <c r="D124" s="5" t="s">
        <v>550</v>
      </c>
      <c r="E124" s="12">
        <v>45469.37372685185</v>
      </c>
      <c r="F124" s="14">
        <v>185000.0</v>
      </c>
      <c r="G124" s="14">
        <v>9000.0</v>
      </c>
      <c r="H124" s="6">
        <v>3.0</v>
      </c>
      <c r="I124" s="14">
        <v>555000.0</v>
      </c>
      <c r="J124" s="5" t="s">
        <v>854</v>
      </c>
      <c r="K124" s="15">
        <f t="shared" si="1"/>
        <v>0</v>
      </c>
      <c r="L124" s="15">
        <f t="shared" si="2"/>
        <v>555000</v>
      </c>
      <c r="M124" s="15">
        <f t="shared" si="3"/>
        <v>564000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8.0" customHeight="1">
      <c r="A125" s="5" t="s">
        <v>810</v>
      </c>
      <c r="B125" s="6">
        <v>2.0</v>
      </c>
      <c r="C125" s="5" t="s">
        <v>136</v>
      </c>
      <c r="D125" s="5" t="s">
        <v>445</v>
      </c>
      <c r="E125" s="12">
        <v>45469.37372685185</v>
      </c>
      <c r="F125" s="14">
        <v>751000.0</v>
      </c>
      <c r="G125" s="14">
        <v>45000.0</v>
      </c>
      <c r="H125" s="6">
        <v>2.0</v>
      </c>
      <c r="I125" s="14">
        <v>1502000.0</v>
      </c>
      <c r="J125" s="5" t="s">
        <v>857</v>
      </c>
      <c r="K125" s="15">
        <f t="shared" si="1"/>
        <v>0</v>
      </c>
      <c r="L125" s="15">
        <f t="shared" si="2"/>
        <v>1502000</v>
      </c>
      <c r="M125" s="15">
        <f t="shared" si="3"/>
        <v>1547000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8.0" customHeight="1">
      <c r="A126" s="5" t="s">
        <v>810</v>
      </c>
      <c r="B126" s="6">
        <v>3.0</v>
      </c>
      <c r="C126" s="5" t="s">
        <v>545</v>
      </c>
      <c r="D126" s="5" t="s">
        <v>589</v>
      </c>
      <c r="E126" s="12">
        <v>45469.37372685185</v>
      </c>
      <c r="F126" s="14">
        <v>260000.0</v>
      </c>
      <c r="G126" s="14">
        <v>8000.0</v>
      </c>
      <c r="H126" s="6">
        <v>4.0</v>
      </c>
      <c r="I126" s="14">
        <v>1040000.0</v>
      </c>
      <c r="J126" s="5" t="s">
        <v>860</v>
      </c>
      <c r="K126" s="15">
        <f t="shared" si="1"/>
        <v>0</v>
      </c>
      <c r="L126" s="15">
        <f t="shared" si="2"/>
        <v>1040000</v>
      </c>
      <c r="M126" s="15">
        <f t="shared" si="3"/>
        <v>1048000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8.0" customHeight="1">
      <c r="A127" s="5" t="s">
        <v>812</v>
      </c>
      <c r="B127" s="6">
        <v>1.0</v>
      </c>
      <c r="C127" s="5" t="s">
        <v>376</v>
      </c>
      <c r="D127" s="5" t="s">
        <v>800</v>
      </c>
      <c r="E127" s="12">
        <v>45632.62762731482</v>
      </c>
      <c r="F127" s="14">
        <v>144000.0</v>
      </c>
      <c r="G127" s="14">
        <v>6000.0</v>
      </c>
      <c r="H127" s="6">
        <v>3.0</v>
      </c>
      <c r="I127" s="14">
        <v>432000.0</v>
      </c>
      <c r="J127" s="5" t="s">
        <v>863</v>
      </c>
      <c r="K127" s="15">
        <f t="shared" si="1"/>
        <v>0</v>
      </c>
      <c r="L127" s="15">
        <f t="shared" si="2"/>
        <v>432000</v>
      </c>
      <c r="M127" s="15">
        <f t="shared" si="3"/>
        <v>438000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8.0" customHeight="1">
      <c r="A128" s="5" t="s">
        <v>812</v>
      </c>
      <c r="B128" s="6">
        <v>2.0</v>
      </c>
      <c r="C128" s="5" t="s">
        <v>163</v>
      </c>
      <c r="D128" s="5" t="s">
        <v>550</v>
      </c>
      <c r="E128" s="12">
        <v>45632.62762731482</v>
      </c>
      <c r="F128" s="14">
        <v>320000.0</v>
      </c>
      <c r="G128" s="14">
        <v>16000.0</v>
      </c>
      <c r="H128" s="6">
        <v>3.0</v>
      </c>
      <c r="I128" s="14">
        <v>960000.0</v>
      </c>
      <c r="J128" s="5" t="s">
        <v>866</v>
      </c>
      <c r="K128" s="15">
        <f t="shared" si="1"/>
        <v>0</v>
      </c>
      <c r="L128" s="15">
        <f t="shared" si="2"/>
        <v>960000</v>
      </c>
      <c r="M128" s="15">
        <f t="shared" si="3"/>
        <v>976000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8.0" customHeight="1">
      <c r="A129" s="5" t="s">
        <v>812</v>
      </c>
      <c r="B129" s="6">
        <v>3.0</v>
      </c>
      <c r="C129" s="5" t="s">
        <v>177</v>
      </c>
      <c r="D129" s="5" t="s">
        <v>602</v>
      </c>
      <c r="E129" s="12">
        <v>45632.62762731482</v>
      </c>
      <c r="F129" s="14">
        <v>152000.0</v>
      </c>
      <c r="G129" s="14">
        <v>9000.0</v>
      </c>
      <c r="H129" s="6">
        <v>4.0</v>
      </c>
      <c r="I129" s="14">
        <v>608000.0</v>
      </c>
      <c r="J129" s="5" t="s">
        <v>869</v>
      </c>
      <c r="K129" s="15">
        <f t="shared" si="1"/>
        <v>0</v>
      </c>
      <c r="L129" s="15">
        <f t="shared" si="2"/>
        <v>608000</v>
      </c>
      <c r="M129" s="15">
        <f t="shared" si="3"/>
        <v>617000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8.0" customHeight="1">
      <c r="A130" s="5" t="s">
        <v>813</v>
      </c>
      <c r="B130" s="6">
        <v>1.0</v>
      </c>
      <c r="C130" s="5" t="s">
        <v>257</v>
      </c>
      <c r="D130" s="5" t="s">
        <v>715</v>
      </c>
      <c r="E130" s="12">
        <v>46174.637974537036</v>
      </c>
      <c r="F130" s="14">
        <v>238000.0</v>
      </c>
      <c r="G130" s="14">
        <v>7000.0</v>
      </c>
      <c r="H130" s="6">
        <v>4.0</v>
      </c>
      <c r="I130" s="14">
        <v>952000.0</v>
      </c>
      <c r="J130" s="5" t="s">
        <v>872</v>
      </c>
      <c r="K130" s="15">
        <f t="shared" si="1"/>
        <v>0</v>
      </c>
      <c r="L130" s="15">
        <f t="shared" si="2"/>
        <v>952000</v>
      </c>
      <c r="M130" s="15">
        <f t="shared" si="3"/>
        <v>959000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8.0" customHeight="1">
      <c r="A131" s="5" t="s">
        <v>813</v>
      </c>
      <c r="B131" s="6">
        <v>2.0</v>
      </c>
      <c r="C131" s="5" t="s">
        <v>177</v>
      </c>
      <c r="D131" s="5" t="s">
        <v>602</v>
      </c>
      <c r="E131" s="12">
        <v>46174.637974537036</v>
      </c>
      <c r="F131" s="14">
        <v>131000.0</v>
      </c>
      <c r="G131" s="14">
        <v>5000.0</v>
      </c>
      <c r="H131" s="6">
        <v>3.0</v>
      </c>
      <c r="I131" s="14">
        <v>393000.0</v>
      </c>
      <c r="J131" s="5" t="s">
        <v>876</v>
      </c>
      <c r="K131" s="15">
        <f t="shared" si="1"/>
        <v>0</v>
      </c>
      <c r="L131" s="15">
        <f t="shared" si="2"/>
        <v>393000</v>
      </c>
      <c r="M131" s="15">
        <f t="shared" si="3"/>
        <v>398000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8.0" customHeight="1">
      <c r="A132" s="5" t="s">
        <v>815</v>
      </c>
      <c r="B132" s="6">
        <v>1.0</v>
      </c>
      <c r="C132" s="5" t="s">
        <v>296</v>
      </c>
      <c r="D132" s="5" t="s">
        <v>879</v>
      </c>
      <c r="E132" s="12">
        <v>45792.13512731482</v>
      </c>
      <c r="F132" s="14">
        <v>162000.0</v>
      </c>
      <c r="G132" s="14">
        <v>8000.0</v>
      </c>
      <c r="H132" s="6">
        <v>4.0</v>
      </c>
      <c r="I132" s="14">
        <v>648000.0</v>
      </c>
      <c r="J132" s="5" t="s">
        <v>881</v>
      </c>
      <c r="K132" s="15">
        <f t="shared" si="1"/>
        <v>0</v>
      </c>
      <c r="L132" s="15">
        <f t="shared" si="2"/>
        <v>648000</v>
      </c>
      <c r="M132" s="15">
        <f t="shared" si="3"/>
        <v>656000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8.0" customHeight="1">
      <c r="A133" s="5" t="s">
        <v>815</v>
      </c>
      <c r="B133" s="6">
        <v>2.0</v>
      </c>
      <c r="C133" s="5" t="s">
        <v>320</v>
      </c>
      <c r="D133" s="5" t="s">
        <v>321</v>
      </c>
      <c r="E133" s="12">
        <v>45792.13512731482</v>
      </c>
      <c r="F133" s="14">
        <v>171000.0</v>
      </c>
      <c r="G133" s="14">
        <v>10000.0</v>
      </c>
      <c r="H133" s="6">
        <v>1.0</v>
      </c>
      <c r="I133" s="14">
        <v>171000.0</v>
      </c>
      <c r="J133" s="5" t="s">
        <v>884</v>
      </c>
      <c r="K133" s="15">
        <f t="shared" si="1"/>
        <v>0</v>
      </c>
      <c r="L133" s="15">
        <f t="shared" si="2"/>
        <v>171000</v>
      </c>
      <c r="M133" s="15">
        <f t="shared" si="3"/>
        <v>181000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8.0" customHeight="1">
      <c r="A134" s="5" t="s">
        <v>816</v>
      </c>
      <c r="B134" s="6">
        <v>1.0</v>
      </c>
      <c r="C134" s="5" t="s">
        <v>112</v>
      </c>
      <c r="D134" s="5" t="s">
        <v>304</v>
      </c>
      <c r="E134" s="12">
        <v>45507.895902777775</v>
      </c>
      <c r="F134" s="14">
        <v>220000.0</v>
      </c>
      <c r="G134" s="14">
        <v>7000.0</v>
      </c>
      <c r="H134" s="6">
        <v>2.0</v>
      </c>
      <c r="I134" s="14">
        <v>440000.0</v>
      </c>
      <c r="J134" s="5" t="s">
        <v>887</v>
      </c>
      <c r="K134" s="15">
        <f t="shared" si="1"/>
        <v>0</v>
      </c>
      <c r="L134" s="15">
        <f t="shared" si="2"/>
        <v>440000</v>
      </c>
      <c r="M134" s="15">
        <f t="shared" si="3"/>
        <v>447000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8.0" customHeight="1">
      <c r="A135" s="5" t="s">
        <v>818</v>
      </c>
      <c r="B135" s="6">
        <v>1.0</v>
      </c>
      <c r="C135" s="5" t="s">
        <v>376</v>
      </c>
      <c r="D135" s="5" t="s">
        <v>800</v>
      </c>
      <c r="E135" s="12">
        <v>45780.53548611111</v>
      </c>
      <c r="F135" s="14">
        <v>144000.0</v>
      </c>
      <c r="G135" s="14">
        <v>6000.0</v>
      </c>
      <c r="H135" s="6">
        <v>1.0</v>
      </c>
      <c r="I135" s="14">
        <v>144000.0</v>
      </c>
      <c r="J135" s="5" t="s">
        <v>891</v>
      </c>
      <c r="K135" s="15">
        <f t="shared" si="1"/>
        <v>0</v>
      </c>
      <c r="L135" s="15">
        <f t="shared" si="2"/>
        <v>144000</v>
      </c>
      <c r="M135" s="15">
        <f t="shared" si="3"/>
        <v>150000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8.0" customHeight="1">
      <c r="A136" s="5" t="s">
        <v>818</v>
      </c>
      <c r="B136" s="6">
        <v>2.0</v>
      </c>
      <c r="C136" s="5" t="s">
        <v>496</v>
      </c>
      <c r="D136" s="5" t="s">
        <v>397</v>
      </c>
      <c r="E136" s="12">
        <v>45780.53548611111</v>
      </c>
      <c r="F136" s="14">
        <v>209000.0</v>
      </c>
      <c r="G136" s="14">
        <v>10000.0</v>
      </c>
      <c r="H136" s="6">
        <v>4.0</v>
      </c>
      <c r="I136" s="14">
        <v>836000.0</v>
      </c>
      <c r="J136" s="5" t="s">
        <v>894</v>
      </c>
      <c r="K136" s="15">
        <f t="shared" si="1"/>
        <v>0</v>
      </c>
      <c r="L136" s="15">
        <f t="shared" si="2"/>
        <v>836000</v>
      </c>
      <c r="M136" s="15">
        <f t="shared" si="3"/>
        <v>846000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8.0" customHeight="1">
      <c r="A137" s="5" t="s">
        <v>819</v>
      </c>
      <c r="B137" s="6">
        <v>1.0</v>
      </c>
      <c r="C137" s="5" t="s">
        <v>177</v>
      </c>
      <c r="D137" s="5" t="s">
        <v>602</v>
      </c>
      <c r="E137" s="12">
        <v>45360.62917824074</v>
      </c>
      <c r="F137" s="14">
        <v>131000.0</v>
      </c>
      <c r="G137" s="14">
        <v>8000.0</v>
      </c>
      <c r="H137" s="6">
        <v>3.0</v>
      </c>
      <c r="I137" s="14">
        <v>393000.0</v>
      </c>
      <c r="J137" s="5" t="s">
        <v>897</v>
      </c>
      <c r="K137" s="15">
        <f t="shared" si="1"/>
        <v>0</v>
      </c>
      <c r="L137" s="15">
        <f t="shared" si="2"/>
        <v>393000</v>
      </c>
      <c r="M137" s="15">
        <f t="shared" si="3"/>
        <v>401000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8.0" customHeight="1">
      <c r="A138" s="5" t="s">
        <v>819</v>
      </c>
      <c r="B138" s="6">
        <v>2.0</v>
      </c>
      <c r="C138" s="5" t="s">
        <v>281</v>
      </c>
      <c r="D138" s="5" t="s">
        <v>729</v>
      </c>
      <c r="E138" s="12">
        <v>45360.62917824074</v>
      </c>
      <c r="F138" s="14">
        <v>242000.0</v>
      </c>
      <c r="G138" s="14">
        <v>7000.0</v>
      </c>
      <c r="H138" s="6">
        <v>3.0</v>
      </c>
      <c r="I138" s="14">
        <v>726000.0</v>
      </c>
      <c r="J138" s="5" t="s">
        <v>900</v>
      </c>
      <c r="K138" s="15">
        <f t="shared" si="1"/>
        <v>0</v>
      </c>
      <c r="L138" s="15">
        <f t="shared" si="2"/>
        <v>726000</v>
      </c>
      <c r="M138" s="15">
        <f t="shared" si="3"/>
        <v>733000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8.0" customHeight="1">
      <c r="A139" s="5" t="s">
        <v>819</v>
      </c>
      <c r="B139" s="6">
        <v>3.0</v>
      </c>
      <c r="C139" s="5" t="s">
        <v>184</v>
      </c>
      <c r="D139" s="5" t="s">
        <v>227</v>
      </c>
      <c r="E139" s="12">
        <v>45360.62917824074</v>
      </c>
      <c r="F139" s="14">
        <v>266000.0</v>
      </c>
      <c r="G139" s="14">
        <v>11000.0</v>
      </c>
      <c r="H139" s="6">
        <v>1.0</v>
      </c>
      <c r="I139" s="14">
        <v>266000.0</v>
      </c>
      <c r="J139" s="5" t="s">
        <v>903</v>
      </c>
      <c r="K139" s="15">
        <f t="shared" si="1"/>
        <v>0</v>
      </c>
      <c r="L139" s="15">
        <f t="shared" si="2"/>
        <v>266000</v>
      </c>
      <c r="M139" s="15">
        <f t="shared" si="3"/>
        <v>277000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8.0" customHeight="1">
      <c r="A140" s="5" t="s">
        <v>821</v>
      </c>
      <c r="B140" s="6">
        <v>1.0</v>
      </c>
      <c r="C140" s="5" t="s">
        <v>163</v>
      </c>
      <c r="D140" s="5" t="s">
        <v>550</v>
      </c>
      <c r="E140" s="12">
        <v>45939.254907407405</v>
      </c>
      <c r="F140" s="14">
        <v>320000.0</v>
      </c>
      <c r="G140" s="14">
        <v>16000.0</v>
      </c>
      <c r="H140" s="6">
        <v>2.0</v>
      </c>
      <c r="I140" s="14">
        <v>640000.0</v>
      </c>
      <c r="J140" s="5" t="s">
        <v>905</v>
      </c>
      <c r="K140" s="15">
        <f t="shared" si="1"/>
        <v>0</v>
      </c>
      <c r="L140" s="15">
        <f t="shared" si="2"/>
        <v>640000</v>
      </c>
      <c r="M140" s="15">
        <f t="shared" si="3"/>
        <v>656000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8.0" customHeight="1">
      <c r="A141" s="5" t="s">
        <v>821</v>
      </c>
      <c r="B141" s="6">
        <v>2.0</v>
      </c>
      <c r="C141" s="5" t="s">
        <v>122</v>
      </c>
      <c r="D141" s="5" t="s">
        <v>156</v>
      </c>
      <c r="E141" s="12">
        <v>45939.254907407405</v>
      </c>
      <c r="F141" s="14">
        <v>390000.0</v>
      </c>
      <c r="G141" s="14">
        <v>23000.0</v>
      </c>
      <c r="H141" s="6">
        <v>3.0</v>
      </c>
      <c r="I141" s="14">
        <v>1170000.0</v>
      </c>
      <c r="J141" s="5" t="s">
        <v>908</v>
      </c>
      <c r="K141" s="15">
        <f t="shared" si="1"/>
        <v>0</v>
      </c>
      <c r="L141" s="15">
        <f t="shared" si="2"/>
        <v>1170000</v>
      </c>
      <c r="M141" s="15">
        <f t="shared" si="3"/>
        <v>1193000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8.0" customHeight="1">
      <c r="A142" s="5" t="s">
        <v>821</v>
      </c>
      <c r="B142" s="6">
        <v>3.0</v>
      </c>
      <c r="C142" s="5" t="s">
        <v>222</v>
      </c>
      <c r="D142" s="5" t="s">
        <v>414</v>
      </c>
      <c r="E142" s="12">
        <v>45939.254907407405</v>
      </c>
      <c r="F142" s="14">
        <v>285000.0</v>
      </c>
      <c r="G142" s="14">
        <v>9000.0</v>
      </c>
      <c r="H142" s="6">
        <v>2.0</v>
      </c>
      <c r="I142" s="14">
        <v>570000.0</v>
      </c>
      <c r="J142" s="5" t="s">
        <v>910</v>
      </c>
      <c r="K142" s="15">
        <f t="shared" si="1"/>
        <v>0</v>
      </c>
      <c r="L142" s="15">
        <f t="shared" si="2"/>
        <v>570000</v>
      </c>
      <c r="M142" s="15">
        <f t="shared" si="3"/>
        <v>579000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8.0" customHeight="1">
      <c r="A143" s="5" t="s">
        <v>823</v>
      </c>
      <c r="B143" s="6">
        <v>1.0</v>
      </c>
      <c r="C143" s="5" t="s">
        <v>465</v>
      </c>
      <c r="D143" s="5" t="s">
        <v>304</v>
      </c>
      <c r="E143" s="12">
        <v>45681.00015046296</v>
      </c>
      <c r="F143" s="14">
        <v>125000.0</v>
      </c>
      <c r="G143" s="14">
        <v>5000.0</v>
      </c>
      <c r="H143" s="6">
        <v>4.0</v>
      </c>
      <c r="I143" s="14">
        <v>500000.0</v>
      </c>
      <c r="J143" s="5" t="s">
        <v>913</v>
      </c>
      <c r="K143" s="15">
        <f t="shared" si="1"/>
        <v>0</v>
      </c>
      <c r="L143" s="15">
        <f t="shared" si="2"/>
        <v>500000</v>
      </c>
      <c r="M143" s="15">
        <f t="shared" si="3"/>
        <v>505000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8.0" customHeight="1">
      <c r="A144" s="5" t="s">
        <v>823</v>
      </c>
      <c r="B144" s="6">
        <v>2.0</v>
      </c>
      <c r="C144" s="5" t="s">
        <v>175</v>
      </c>
      <c r="D144" s="5" t="s">
        <v>178</v>
      </c>
      <c r="E144" s="12">
        <v>45681.00015046296</v>
      </c>
      <c r="F144" s="14">
        <v>135000.0</v>
      </c>
      <c r="G144" s="14">
        <v>7000.0</v>
      </c>
      <c r="H144" s="6">
        <v>4.0</v>
      </c>
      <c r="I144" s="14">
        <v>540000.0</v>
      </c>
      <c r="J144" s="5" t="s">
        <v>916</v>
      </c>
      <c r="K144" s="15">
        <f t="shared" si="1"/>
        <v>0</v>
      </c>
      <c r="L144" s="15">
        <f t="shared" si="2"/>
        <v>540000</v>
      </c>
      <c r="M144" s="15">
        <f t="shared" si="3"/>
        <v>547000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8.0" customHeight="1">
      <c r="A145" s="5" t="s">
        <v>823</v>
      </c>
      <c r="B145" s="6">
        <v>3.0</v>
      </c>
      <c r="C145" s="5" t="s">
        <v>43</v>
      </c>
      <c r="D145" s="5" t="s">
        <v>321</v>
      </c>
      <c r="E145" s="12">
        <v>45681.00015046296</v>
      </c>
      <c r="F145" s="14">
        <v>405000.0</v>
      </c>
      <c r="G145" s="14">
        <v>24000.0</v>
      </c>
      <c r="H145" s="6">
        <v>4.0</v>
      </c>
      <c r="I145" s="14">
        <v>1620000.0</v>
      </c>
      <c r="J145" s="5" t="s">
        <v>919</v>
      </c>
      <c r="K145" s="15">
        <f t="shared" si="1"/>
        <v>0</v>
      </c>
      <c r="L145" s="15">
        <f t="shared" si="2"/>
        <v>1620000</v>
      </c>
      <c r="M145" s="15">
        <f t="shared" si="3"/>
        <v>1644000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8.0" customHeight="1">
      <c r="A146" s="5" t="s">
        <v>823</v>
      </c>
      <c r="B146" s="6">
        <v>4.0</v>
      </c>
      <c r="C146" s="5" t="s">
        <v>283</v>
      </c>
      <c r="D146" s="5" t="s">
        <v>286</v>
      </c>
      <c r="E146" s="12">
        <v>45681.00015046296</v>
      </c>
      <c r="F146" s="14">
        <v>85000.0</v>
      </c>
      <c r="G146" s="14">
        <v>3000.0</v>
      </c>
      <c r="H146" s="6">
        <v>4.0</v>
      </c>
      <c r="I146" s="14">
        <v>340000.0</v>
      </c>
      <c r="J146" s="5" t="s">
        <v>921</v>
      </c>
      <c r="K146" s="15">
        <f t="shared" si="1"/>
        <v>0</v>
      </c>
      <c r="L146" s="15">
        <f t="shared" si="2"/>
        <v>340000</v>
      </c>
      <c r="M146" s="15">
        <f t="shared" si="3"/>
        <v>343000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8.0" customHeight="1">
      <c r="A147" s="5" t="s">
        <v>824</v>
      </c>
      <c r="B147" s="6">
        <v>1.0</v>
      </c>
      <c r="C147" s="5" t="s">
        <v>527</v>
      </c>
      <c r="D147" s="5" t="s">
        <v>227</v>
      </c>
      <c r="E147" s="12">
        <v>46149.6156712963</v>
      </c>
      <c r="F147" s="14">
        <v>147000.0</v>
      </c>
      <c r="G147" s="14">
        <v>6000.0</v>
      </c>
      <c r="H147" s="6">
        <v>1.0</v>
      </c>
      <c r="I147" s="14">
        <v>147000.0</v>
      </c>
      <c r="J147" s="5" t="s">
        <v>924</v>
      </c>
      <c r="K147" s="15">
        <f t="shared" si="1"/>
        <v>0</v>
      </c>
      <c r="L147" s="15">
        <f t="shared" si="2"/>
        <v>147000</v>
      </c>
      <c r="M147" s="15">
        <f t="shared" si="3"/>
        <v>153000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8.0" customHeight="1">
      <c r="A148" s="5" t="s">
        <v>824</v>
      </c>
      <c r="B148" s="6">
        <v>2.0</v>
      </c>
      <c r="C148" s="5" t="s">
        <v>234</v>
      </c>
      <c r="D148" s="5" t="s">
        <v>701</v>
      </c>
      <c r="E148" s="12">
        <v>46149.6156712963</v>
      </c>
      <c r="F148" s="14">
        <v>185000.0</v>
      </c>
      <c r="G148" s="14">
        <v>9000.0</v>
      </c>
      <c r="H148" s="6">
        <v>3.0</v>
      </c>
      <c r="I148" s="14">
        <v>555000.0</v>
      </c>
      <c r="J148" s="5" t="s">
        <v>926</v>
      </c>
      <c r="K148" s="15">
        <f t="shared" si="1"/>
        <v>0</v>
      </c>
      <c r="L148" s="15">
        <f t="shared" si="2"/>
        <v>555000</v>
      </c>
      <c r="M148" s="15">
        <f t="shared" si="3"/>
        <v>564000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8.0" customHeight="1">
      <c r="A149" s="5" t="s">
        <v>826</v>
      </c>
      <c r="B149" s="6">
        <v>1.0</v>
      </c>
      <c r="C149" s="5" t="s">
        <v>507</v>
      </c>
      <c r="D149" s="5" t="s">
        <v>550</v>
      </c>
      <c r="E149" s="12">
        <v>46128.86665509259</v>
      </c>
      <c r="F149" s="14">
        <v>176000.0</v>
      </c>
      <c r="G149" s="14">
        <v>11000.0</v>
      </c>
      <c r="H149" s="6">
        <v>1.0</v>
      </c>
      <c r="I149" s="14">
        <v>176000.0</v>
      </c>
      <c r="J149" s="5" t="s">
        <v>929</v>
      </c>
      <c r="K149" s="15">
        <f t="shared" si="1"/>
        <v>0</v>
      </c>
      <c r="L149" s="15">
        <f t="shared" si="2"/>
        <v>176000</v>
      </c>
      <c r="M149" s="15">
        <f t="shared" si="3"/>
        <v>187000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8.0" customHeight="1">
      <c r="A150" s="5" t="s">
        <v>826</v>
      </c>
      <c r="B150" s="6">
        <v>2.0</v>
      </c>
      <c r="C150" s="5" t="s">
        <v>177</v>
      </c>
      <c r="D150" s="5" t="s">
        <v>602</v>
      </c>
      <c r="E150" s="12">
        <v>46128.86665509259</v>
      </c>
      <c r="F150" s="14">
        <v>152000.0</v>
      </c>
      <c r="G150" s="14">
        <v>5000.0</v>
      </c>
      <c r="H150" s="6">
        <v>2.0</v>
      </c>
      <c r="I150" s="14">
        <v>304000.0</v>
      </c>
      <c r="J150" s="5" t="s">
        <v>932</v>
      </c>
      <c r="K150" s="15">
        <f t="shared" si="1"/>
        <v>0</v>
      </c>
      <c r="L150" s="15">
        <f t="shared" si="2"/>
        <v>304000</v>
      </c>
      <c r="M150" s="15">
        <f t="shared" si="3"/>
        <v>309000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8.0" customHeight="1">
      <c r="A151" s="5" t="s">
        <v>826</v>
      </c>
      <c r="B151" s="6">
        <v>3.0</v>
      </c>
      <c r="C151" s="5" t="s">
        <v>311</v>
      </c>
      <c r="D151" s="5" t="s">
        <v>460</v>
      </c>
      <c r="E151" s="12">
        <v>46128.86665509259</v>
      </c>
      <c r="F151" s="14">
        <v>221000.0</v>
      </c>
      <c r="G151" s="14">
        <v>9000.0</v>
      </c>
      <c r="H151" s="6">
        <v>3.0</v>
      </c>
      <c r="I151" s="14">
        <v>663000.0</v>
      </c>
      <c r="J151" s="5" t="s">
        <v>934</v>
      </c>
      <c r="K151" s="15">
        <f t="shared" si="1"/>
        <v>0</v>
      </c>
      <c r="L151" s="15">
        <f t="shared" si="2"/>
        <v>663000</v>
      </c>
      <c r="M151" s="15">
        <f t="shared" si="3"/>
        <v>672000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8.0" customHeight="1">
      <c r="A152" s="5" t="s">
        <v>826</v>
      </c>
      <c r="B152" s="6">
        <v>4.0</v>
      </c>
      <c r="C152" s="5" t="s">
        <v>222</v>
      </c>
      <c r="D152" s="5" t="s">
        <v>414</v>
      </c>
      <c r="E152" s="12">
        <v>46128.86665509259</v>
      </c>
      <c r="F152" s="14">
        <v>257000.0</v>
      </c>
      <c r="G152" s="14">
        <v>13000.0</v>
      </c>
      <c r="H152" s="6">
        <v>4.0</v>
      </c>
      <c r="I152" s="14">
        <v>1028000.0</v>
      </c>
      <c r="J152" s="5" t="s">
        <v>937</v>
      </c>
      <c r="K152" s="15">
        <f t="shared" si="1"/>
        <v>0</v>
      </c>
      <c r="L152" s="15">
        <f t="shared" si="2"/>
        <v>1028000</v>
      </c>
      <c r="M152" s="15">
        <f t="shared" si="3"/>
        <v>1041000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8.0" customHeight="1">
      <c r="A153" s="5" t="s">
        <v>827</v>
      </c>
      <c r="B153" s="6">
        <v>1.0</v>
      </c>
      <c r="C153" s="5" t="s">
        <v>163</v>
      </c>
      <c r="D153" s="5" t="s">
        <v>550</v>
      </c>
      <c r="E153" s="12">
        <v>45770.628275462965</v>
      </c>
      <c r="F153" s="14">
        <v>304000.0</v>
      </c>
      <c r="G153" s="14">
        <v>18000.0</v>
      </c>
      <c r="H153" s="6">
        <v>1.0</v>
      </c>
      <c r="I153" s="14">
        <v>304000.0</v>
      </c>
      <c r="J153" s="5" t="s">
        <v>939</v>
      </c>
      <c r="K153" s="15">
        <f t="shared" si="1"/>
        <v>0</v>
      </c>
      <c r="L153" s="15">
        <f t="shared" si="2"/>
        <v>304000</v>
      </c>
      <c r="M153" s="15">
        <f t="shared" si="3"/>
        <v>322000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8.0" customHeight="1">
      <c r="A154" s="5" t="s">
        <v>827</v>
      </c>
      <c r="B154" s="6">
        <v>2.0</v>
      </c>
      <c r="C154" s="5" t="s">
        <v>242</v>
      </c>
      <c r="D154" s="5" t="s">
        <v>690</v>
      </c>
      <c r="E154" s="12">
        <v>45770.628275462965</v>
      </c>
      <c r="F154" s="14">
        <v>560000.0</v>
      </c>
      <c r="G154" s="14">
        <v>17000.0</v>
      </c>
      <c r="H154" s="6">
        <v>1.0</v>
      </c>
      <c r="I154" s="14">
        <v>560000.0</v>
      </c>
      <c r="J154" s="5" t="s">
        <v>942</v>
      </c>
      <c r="K154" s="15">
        <f t="shared" si="1"/>
        <v>0</v>
      </c>
      <c r="L154" s="15">
        <f t="shared" si="2"/>
        <v>560000</v>
      </c>
      <c r="M154" s="15">
        <f t="shared" si="3"/>
        <v>577000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8.0" customHeight="1">
      <c r="A155" s="5" t="s">
        <v>827</v>
      </c>
      <c r="B155" s="6">
        <v>3.0</v>
      </c>
      <c r="C155" s="5" t="s">
        <v>517</v>
      </c>
      <c r="D155" s="5" t="s">
        <v>602</v>
      </c>
      <c r="E155" s="12">
        <v>45770.628275462965</v>
      </c>
      <c r="F155" s="14">
        <v>120000.0</v>
      </c>
      <c r="G155" s="14">
        <v>5000.0</v>
      </c>
      <c r="H155" s="6">
        <v>3.0</v>
      </c>
      <c r="I155" s="14">
        <v>360000.0</v>
      </c>
      <c r="J155" s="5" t="s">
        <v>946</v>
      </c>
      <c r="K155" s="15">
        <f t="shared" si="1"/>
        <v>0</v>
      </c>
      <c r="L155" s="15">
        <f t="shared" si="2"/>
        <v>360000</v>
      </c>
      <c r="M155" s="15">
        <f t="shared" si="3"/>
        <v>365000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8.0" customHeight="1">
      <c r="A156" s="5" t="s">
        <v>827</v>
      </c>
      <c r="B156" s="6">
        <v>4.0</v>
      </c>
      <c r="C156" s="5" t="s">
        <v>424</v>
      </c>
      <c r="D156" s="5" t="s">
        <v>667</v>
      </c>
      <c r="E156" s="12">
        <v>45770.628275462965</v>
      </c>
      <c r="F156" s="14">
        <v>205000.0</v>
      </c>
      <c r="G156" s="14">
        <v>10000.0</v>
      </c>
      <c r="H156" s="6">
        <v>3.0</v>
      </c>
      <c r="I156" s="14">
        <v>615000.0</v>
      </c>
      <c r="J156" s="5" t="s">
        <v>948</v>
      </c>
      <c r="K156" s="15">
        <f t="shared" si="1"/>
        <v>0</v>
      </c>
      <c r="L156" s="15">
        <f t="shared" si="2"/>
        <v>615000</v>
      </c>
      <c r="M156" s="15">
        <f t="shared" si="3"/>
        <v>625000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8.0" customHeight="1">
      <c r="A157" s="5" t="s">
        <v>829</v>
      </c>
      <c r="B157" s="6">
        <v>1.0</v>
      </c>
      <c r="C157" s="5" t="s">
        <v>271</v>
      </c>
      <c r="D157" s="5" t="s">
        <v>770</v>
      </c>
      <c r="E157" s="12">
        <v>45930.919699074075</v>
      </c>
      <c r="F157" s="14">
        <v>175000.0</v>
      </c>
      <c r="G157" s="14">
        <v>11000.0</v>
      </c>
      <c r="H157" s="6">
        <v>2.0</v>
      </c>
      <c r="I157" s="14">
        <v>350000.0</v>
      </c>
      <c r="J157" s="5" t="s">
        <v>951</v>
      </c>
      <c r="K157" s="15">
        <f t="shared" si="1"/>
        <v>0</v>
      </c>
      <c r="L157" s="15">
        <f t="shared" si="2"/>
        <v>350000</v>
      </c>
      <c r="M157" s="15">
        <f t="shared" si="3"/>
        <v>361000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8.0" customHeight="1">
      <c r="A158" s="5" t="s">
        <v>829</v>
      </c>
      <c r="B158" s="6">
        <v>2.0</v>
      </c>
      <c r="C158" s="5" t="s">
        <v>402</v>
      </c>
      <c r="D158" s="5" t="s">
        <v>615</v>
      </c>
      <c r="E158" s="12">
        <v>45930.919699074075</v>
      </c>
      <c r="F158" s="14">
        <v>420000.0</v>
      </c>
      <c r="G158" s="14">
        <v>13000.0</v>
      </c>
      <c r="H158" s="6">
        <v>4.0</v>
      </c>
      <c r="I158" s="14">
        <v>1680000.0</v>
      </c>
      <c r="J158" s="5" t="s">
        <v>953</v>
      </c>
      <c r="K158" s="15">
        <f t="shared" si="1"/>
        <v>0</v>
      </c>
      <c r="L158" s="15">
        <f t="shared" si="2"/>
        <v>1680000</v>
      </c>
      <c r="M158" s="15">
        <f t="shared" si="3"/>
        <v>1693000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8.0" customHeight="1">
      <c r="A159" s="5" t="s">
        <v>829</v>
      </c>
      <c r="B159" s="6">
        <v>3.0</v>
      </c>
      <c r="C159" s="5" t="s">
        <v>331</v>
      </c>
      <c r="D159" s="5" t="s">
        <v>541</v>
      </c>
      <c r="E159" s="12">
        <v>45930.919699074075</v>
      </c>
      <c r="F159" s="14">
        <v>135000.0</v>
      </c>
      <c r="G159" s="14">
        <v>5000.0</v>
      </c>
      <c r="H159" s="6">
        <v>2.0</v>
      </c>
      <c r="I159" s="14">
        <v>270000.0</v>
      </c>
      <c r="J159" s="5" t="s">
        <v>956</v>
      </c>
      <c r="K159" s="15">
        <f t="shared" si="1"/>
        <v>0</v>
      </c>
      <c r="L159" s="15">
        <f t="shared" si="2"/>
        <v>270000</v>
      </c>
      <c r="M159" s="15">
        <f t="shared" si="3"/>
        <v>275000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8.0" customHeight="1">
      <c r="A160" s="5" t="s">
        <v>830</v>
      </c>
      <c r="B160" s="6">
        <v>1.0</v>
      </c>
      <c r="C160" s="5" t="s">
        <v>424</v>
      </c>
      <c r="D160" s="5" t="s">
        <v>667</v>
      </c>
      <c r="E160" s="12">
        <v>45825.71811342592</v>
      </c>
      <c r="F160" s="14">
        <v>205000.0</v>
      </c>
      <c r="G160" s="14">
        <v>10000.0</v>
      </c>
      <c r="H160" s="6">
        <v>4.0</v>
      </c>
      <c r="I160" s="14">
        <v>820000.0</v>
      </c>
      <c r="J160" s="5" t="s">
        <v>959</v>
      </c>
      <c r="K160" s="15">
        <f t="shared" si="1"/>
        <v>0</v>
      </c>
      <c r="L160" s="15">
        <f t="shared" si="2"/>
        <v>820000</v>
      </c>
      <c r="M160" s="15">
        <f t="shared" si="3"/>
        <v>830000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8.0" customHeight="1">
      <c r="A161" s="5" t="s">
        <v>830</v>
      </c>
      <c r="B161" s="6">
        <v>2.0</v>
      </c>
      <c r="C161" s="5" t="s">
        <v>545</v>
      </c>
      <c r="D161" s="5" t="s">
        <v>589</v>
      </c>
      <c r="E161" s="12">
        <v>45825.71811342592</v>
      </c>
      <c r="F161" s="14">
        <v>234000.0</v>
      </c>
      <c r="G161" s="14">
        <v>14000.0</v>
      </c>
      <c r="H161" s="6">
        <v>1.0</v>
      </c>
      <c r="I161" s="14">
        <v>234000.0</v>
      </c>
      <c r="J161" s="5" t="s">
        <v>962</v>
      </c>
      <c r="K161" s="15">
        <f t="shared" si="1"/>
        <v>0</v>
      </c>
      <c r="L161" s="15">
        <f t="shared" si="2"/>
        <v>234000</v>
      </c>
      <c r="M161" s="15">
        <f t="shared" si="3"/>
        <v>248000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8.0" customHeight="1">
      <c r="A162" s="5" t="s">
        <v>830</v>
      </c>
      <c r="B162" s="6">
        <v>3.0</v>
      </c>
      <c r="C162" s="5" t="s">
        <v>136</v>
      </c>
      <c r="D162" s="5" t="s">
        <v>445</v>
      </c>
      <c r="E162" s="12">
        <v>45825.71811342592</v>
      </c>
      <c r="F162" s="14">
        <v>790000.0</v>
      </c>
      <c r="G162" s="14">
        <v>24000.0</v>
      </c>
      <c r="H162" s="6">
        <v>2.0</v>
      </c>
      <c r="I162" s="14">
        <v>1580000.0</v>
      </c>
      <c r="J162" s="5" t="s">
        <v>964</v>
      </c>
      <c r="K162" s="15">
        <f t="shared" si="1"/>
        <v>0</v>
      </c>
      <c r="L162" s="15">
        <f t="shared" si="2"/>
        <v>1580000</v>
      </c>
      <c r="M162" s="15">
        <f t="shared" si="3"/>
        <v>1604000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8.0" customHeight="1">
      <c r="A163" s="5" t="s">
        <v>830</v>
      </c>
      <c r="B163" s="6">
        <v>4.0</v>
      </c>
      <c r="C163" s="5" t="s">
        <v>353</v>
      </c>
      <c r="D163" s="5" t="s">
        <v>156</v>
      </c>
      <c r="E163" s="12">
        <v>45825.71811342592</v>
      </c>
      <c r="F163" s="14">
        <v>125000.0</v>
      </c>
      <c r="G163" s="14">
        <v>5000.0</v>
      </c>
      <c r="H163" s="6">
        <v>2.0</v>
      </c>
      <c r="I163" s="14">
        <v>250000.0</v>
      </c>
      <c r="J163" s="5" t="s">
        <v>967</v>
      </c>
      <c r="K163" s="15">
        <f t="shared" si="1"/>
        <v>0</v>
      </c>
      <c r="L163" s="15">
        <f t="shared" si="2"/>
        <v>250000</v>
      </c>
      <c r="M163" s="15">
        <f t="shared" si="3"/>
        <v>255000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8.0" customHeight="1">
      <c r="A164" s="5" t="s">
        <v>832</v>
      </c>
      <c r="B164" s="6">
        <v>1.0</v>
      </c>
      <c r="C164" s="5" t="s">
        <v>242</v>
      </c>
      <c r="D164" s="5" t="s">
        <v>690</v>
      </c>
      <c r="E164" s="12">
        <v>45690.496666666666</v>
      </c>
      <c r="F164" s="14">
        <v>588000.0</v>
      </c>
      <c r="G164" s="14">
        <v>29000.0</v>
      </c>
      <c r="H164" s="6">
        <v>4.0</v>
      </c>
      <c r="I164" s="14">
        <v>2352000.0</v>
      </c>
      <c r="J164" s="5" t="s">
        <v>968</v>
      </c>
      <c r="K164" s="15">
        <f t="shared" si="1"/>
        <v>0</v>
      </c>
      <c r="L164" s="15">
        <f t="shared" si="2"/>
        <v>2352000</v>
      </c>
      <c r="M164" s="15">
        <f t="shared" si="3"/>
        <v>2381000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8.0" customHeight="1">
      <c r="A165" s="5" t="s">
        <v>833</v>
      </c>
      <c r="B165" s="6">
        <v>1.0</v>
      </c>
      <c r="C165" s="5" t="s">
        <v>296</v>
      </c>
      <c r="D165" s="5" t="s">
        <v>879</v>
      </c>
      <c r="E165" s="12">
        <v>45521.43486111111</v>
      </c>
      <c r="F165" s="14">
        <v>180000.0</v>
      </c>
      <c r="G165" s="14">
        <v>11000.0</v>
      </c>
      <c r="H165" s="6">
        <v>1.0</v>
      </c>
      <c r="I165" s="14">
        <v>180000.0</v>
      </c>
      <c r="J165" s="5" t="s">
        <v>971</v>
      </c>
      <c r="K165" s="15">
        <f t="shared" si="1"/>
        <v>0</v>
      </c>
      <c r="L165" s="15">
        <f t="shared" si="2"/>
        <v>180000</v>
      </c>
      <c r="M165" s="15">
        <f t="shared" si="3"/>
        <v>191000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8.0" customHeight="1">
      <c r="A166" s="5" t="s">
        <v>833</v>
      </c>
      <c r="B166" s="6">
        <v>2.0</v>
      </c>
      <c r="C166" s="5" t="s">
        <v>465</v>
      </c>
      <c r="D166" s="5" t="s">
        <v>304</v>
      </c>
      <c r="E166" s="12">
        <v>45521.43486111111</v>
      </c>
      <c r="F166" s="14">
        <v>113000.0</v>
      </c>
      <c r="G166" s="14">
        <v>3000.0</v>
      </c>
      <c r="H166" s="6">
        <v>2.0</v>
      </c>
      <c r="I166" s="14">
        <v>226000.0</v>
      </c>
      <c r="J166" s="5" t="s">
        <v>973</v>
      </c>
      <c r="K166" s="15">
        <f t="shared" si="1"/>
        <v>0</v>
      </c>
      <c r="L166" s="15">
        <f t="shared" si="2"/>
        <v>226000</v>
      </c>
      <c r="M166" s="15">
        <f t="shared" si="3"/>
        <v>229000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8.0" customHeight="1">
      <c r="A167" s="5" t="s">
        <v>833</v>
      </c>
      <c r="B167" s="6">
        <v>3.0</v>
      </c>
      <c r="C167" s="5" t="s">
        <v>177</v>
      </c>
      <c r="D167" s="5" t="s">
        <v>602</v>
      </c>
      <c r="E167" s="12">
        <v>45521.43486111111</v>
      </c>
      <c r="F167" s="14">
        <v>145000.0</v>
      </c>
      <c r="G167" s="14">
        <v>6000.0</v>
      </c>
      <c r="H167" s="6">
        <v>2.0</v>
      </c>
      <c r="I167" s="14">
        <v>290000.0</v>
      </c>
      <c r="J167" s="5" t="s">
        <v>976</v>
      </c>
      <c r="K167" s="15">
        <f t="shared" si="1"/>
        <v>0</v>
      </c>
      <c r="L167" s="15">
        <f t="shared" si="2"/>
        <v>290000</v>
      </c>
      <c r="M167" s="15">
        <f t="shared" si="3"/>
        <v>296000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8.0" customHeight="1">
      <c r="A168" s="5" t="s">
        <v>833</v>
      </c>
      <c r="B168" s="6">
        <v>4.0</v>
      </c>
      <c r="C168" s="5" t="s">
        <v>527</v>
      </c>
      <c r="D168" s="5" t="s">
        <v>227</v>
      </c>
      <c r="E168" s="12">
        <v>45521.43486111111</v>
      </c>
      <c r="F168" s="14">
        <v>155000.0</v>
      </c>
      <c r="G168" s="14">
        <v>8000.0</v>
      </c>
      <c r="H168" s="6">
        <v>1.0</v>
      </c>
      <c r="I168" s="14">
        <v>155000.0</v>
      </c>
      <c r="J168" s="5" t="s">
        <v>979</v>
      </c>
      <c r="K168" s="15">
        <f t="shared" si="1"/>
        <v>0</v>
      </c>
      <c r="L168" s="15">
        <f t="shared" si="2"/>
        <v>155000</v>
      </c>
      <c r="M168" s="15">
        <f t="shared" si="3"/>
        <v>163000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8.0" customHeight="1">
      <c r="A169" s="5" t="s">
        <v>835</v>
      </c>
      <c r="B169" s="6">
        <v>1.0</v>
      </c>
      <c r="C169" s="5" t="s">
        <v>242</v>
      </c>
      <c r="D169" s="5" t="s">
        <v>690</v>
      </c>
      <c r="E169" s="12">
        <v>45906.51603009259</v>
      </c>
      <c r="F169" s="14">
        <v>504000.0</v>
      </c>
      <c r="G169" s="14">
        <v>30000.0</v>
      </c>
      <c r="H169" s="6">
        <v>2.0</v>
      </c>
      <c r="I169" s="14">
        <v>1008000.0</v>
      </c>
      <c r="J169" s="5" t="s">
        <v>981</v>
      </c>
      <c r="K169" s="15">
        <f t="shared" si="1"/>
        <v>0</v>
      </c>
      <c r="L169" s="15">
        <f t="shared" si="2"/>
        <v>1008000</v>
      </c>
      <c r="M169" s="15">
        <f t="shared" si="3"/>
        <v>1038000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8.0" customHeight="1">
      <c r="A170" s="5" t="s">
        <v>835</v>
      </c>
      <c r="B170" s="6">
        <v>2.0</v>
      </c>
      <c r="C170" s="5" t="s">
        <v>517</v>
      </c>
      <c r="D170" s="5" t="s">
        <v>602</v>
      </c>
      <c r="E170" s="12">
        <v>45906.51603009259</v>
      </c>
      <c r="F170" s="14">
        <v>120000.0</v>
      </c>
      <c r="G170" s="14">
        <v>4000.0</v>
      </c>
      <c r="H170" s="6">
        <v>3.0</v>
      </c>
      <c r="I170" s="14">
        <v>360000.0</v>
      </c>
      <c r="J170" s="5" t="s">
        <v>984</v>
      </c>
      <c r="K170" s="15">
        <f t="shared" si="1"/>
        <v>0</v>
      </c>
      <c r="L170" s="15">
        <f t="shared" si="2"/>
        <v>360000</v>
      </c>
      <c r="M170" s="15">
        <f t="shared" si="3"/>
        <v>364000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8.0" customHeight="1">
      <c r="A171" s="5" t="s">
        <v>836</v>
      </c>
      <c r="B171" s="6">
        <v>1.0</v>
      </c>
      <c r="C171" s="5" t="s">
        <v>320</v>
      </c>
      <c r="D171" s="5" t="s">
        <v>321</v>
      </c>
      <c r="E171" s="12">
        <v>45982.936111111114</v>
      </c>
      <c r="F171" s="14">
        <v>189000.0</v>
      </c>
      <c r="G171" s="14">
        <v>8000.0</v>
      </c>
      <c r="H171" s="6">
        <v>3.0</v>
      </c>
      <c r="I171" s="14">
        <v>567000.0</v>
      </c>
      <c r="J171" s="5" t="s">
        <v>986</v>
      </c>
      <c r="K171" s="15">
        <f t="shared" si="1"/>
        <v>0</v>
      </c>
      <c r="L171" s="15">
        <f t="shared" si="2"/>
        <v>567000</v>
      </c>
      <c r="M171" s="15">
        <f t="shared" si="3"/>
        <v>575000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8.0" customHeight="1">
      <c r="A172" s="5" t="s">
        <v>836</v>
      </c>
      <c r="B172" s="6">
        <v>2.0</v>
      </c>
      <c r="C172" s="5" t="s">
        <v>122</v>
      </c>
      <c r="D172" s="5" t="s">
        <v>156</v>
      </c>
      <c r="E172" s="12">
        <v>45982.936111111114</v>
      </c>
      <c r="F172" s="14">
        <v>351000.0</v>
      </c>
      <c r="G172" s="14">
        <v>18000.0</v>
      </c>
      <c r="H172" s="6">
        <v>2.0</v>
      </c>
      <c r="I172" s="14">
        <v>702000.0</v>
      </c>
      <c r="J172" s="5" t="s">
        <v>989</v>
      </c>
      <c r="K172" s="15">
        <f t="shared" si="1"/>
        <v>0</v>
      </c>
      <c r="L172" s="15">
        <f t="shared" si="2"/>
        <v>702000</v>
      </c>
      <c r="M172" s="15">
        <f t="shared" si="3"/>
        <v>720000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8.0" customHeight="1">
      <c r="A173" s="5" t="s">
        <v>836</v>
      </c>
      <c r="B173" s="6">
        <v>3.0</v>
      </c>
      <c r="C173" s="5" t="s">
        <v>175</v>
      </c>
      <c r="D173" s="5" t="s">
        <v>178</v>
      </c>
      <c r="E173" s="12">
        <v>45982.936111111114</v>
      </c>
      <c r="F173" s="14">
        <v>135000.0</v>
      </c>
      <c r="G173" s="14">
        <v>8000.0</v>
      </c>
      <c r="H173" s="6">
        <v>4.0</v>
      </c>
      <c r="I173" s="14">
        <v>540000.0</v>
      </c>
      <c r="J173" s="5" t="s">
        <v>992</v>
      </c>
      <c r="K173" s="15">
        <f t="shared" si="1"/>
        <v>0</v>
      </c>
      <c r="L173" s="15">
        <f t="shared" si="2"/>
        <v>540000</v>
      </c>
      <c r="M173" s="15">
        <f t="shared" si="3"/>
        <v>548000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8.0" customHeight="1">
      <c r="A174" s="5" t="s">
        <v>836</v>
      </c>
      <c r="B174" s="6">
        <v>4.0</v>
      </c>
      <c r="C174" s="5" t="s">
        <v>257</v>
      </c>
      <c r="D174" s="5" t="s">
        <v>715</v>
      </c>
      <c r="E174" s="12">
        <v>45982.936111111114</v>
      </c>
      <c r="F174" s="14">
        <v>250000.0</v>
      </c>
      <c r="G174" s="14">
        <v>8000.0</v>
      </c>
      <c r="H174" s="6">
        <v>2.0</v>
      </c>
      <c r="I174" s="14">
        <v>500000.0</v>
      </c>
      <c r="J174" s="5" t="s">
        <v>994</v>
      </c>
      <c r="K174" s="15">
        <f t="shared" si="1"/>
        <v>0</v>
      </c>
      <c r="L174" s="15">
        <f t="shared" si="2"/>
        <v>500000</v>
      </c>
      <c r="M174" s="15">
        <f t="shared" si="3"/>
        <v>508000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8.0" customHeight="1">
      <c r="A175" s="5" t="s">
        <v>838</v>
      </c>
      <c r="B175" s="6">
        <v>1.0</v>
      </c>
      <c r="C175" s="5" t="s">
        <v>222</v>
      </c>
      <c r="D175" s="5" t="s">
        <v>414</v>
      </c>
      <c r="E175" s="12">
        <v>45491.225</v>
      </c>
      <c r="F175" s="14">
        <v>285000.0</v>
      </c>
      <c r="G175" s="14">
        <v>11000.0</v>
      </c>
      <c r="H175" s="6">
        <v>1.0</v>
      </c>
      <c r="I175" s="14">
        <v>285000.0</v>
      </c>
      <c r="J175" s="5" t="s">
        <v>997</v>
      </c>
      <c r="K175" s="15">
        <f t="shared" si="1"/>
        <v>0</v>
      </c>
      <c r="L175" s="15">
        <f t="shared" si="2"/>
        <v>285000</v>
      </c>
      <c r="M175" s="15">
        <f t="shared" si="3"/>
        <v>296000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8.0" customHeight="1">
      <c r="A176" s="5" t="s">
        <v>838</v>
      </c>
      <c r="B176" s="6">
        <v>2.0</v>
      </c>
      <c r="C176" s="5" t="s">
        <v>507</v>
      </c>
      <c r="D176" s="5" t="s">
        <v>550</v>
      </c>
      <c r="E176" s="12">
        <v>45491.225</v>
      </c>
      <c r="F176" s="14">
        <v>185000.0</v>
      </c>
      <c r="G176" s="14">
        <v>9000.0</v>
      </c>
      <c r="H176" s="6">
        <v>2.0</v>
      </c>
      <c r="I176" s="14">
        <v>370000.0</v>
      </c>
      <c r="J176" s="5" t="s">
        <v>999</v>
      </c>
      <c r="K176" s="15">
        <f t="shared" si="1"/>
        <v>0</v>
      </c>
      <c r="L176" s="15">
        <f t="shared" si="2"/>
        <v>370000</v>
      </c>
      <c r="M176" s="15">
        <f t="shared" si="3"/>
        <v>379000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8.0" customHeight="1">
      <c r="A177" s="5" t="s">
        <v>838</v>
      </c>
      <c r="B177" s="6">
        <v>3.0</v>
      </c>
      <c r="C177" s="5" t="s">
        <v>412</v>
      </c>
      <c r="D177" s="5" t="s">
        <v>707</v>
      </c>
      <c r="E177" s="12">
        <v>45491.225</v>
      </c>
      <c r="F177" s="14">
        <v>140000.0</v>
      </c>
      <c r="G177" s="14">
        <v>8000.0</v>
      </c>
      <c r="H177" s="6">
        <v>4.0</v>
      </c>
      <c r="I177" s="14">
        <v>560000.0</v>
      </c>
      <c r="J177" s="5" t="s">
        <v>1002</v>
      </c>
      <c r="K177" s="15">
        <f t="shared" si="1"/>
        <v>0</v>
      </c>
      <c r="L177" s="15">
        <f t="shared" si="2"/>
        <v>560000</v>
      </c>
      <c r="M177" s="15">
        <f t="shared" si="3"/>
        <v>568000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8.0" customHeight="1">
      <c r="A178" s="5" t="s">
        <v>839</v>
      </c>
      <c r="B178" s="6">
        <v>1.0</v>
      </c>
      <c r="C178" s="5" t="s">
        <v>465</v>
      </c>
      <c r="D178" s="5" t="s">
        <v>304</v>
      </c>
      <c r="E178" s="12">
        <v>46167.421585648146</v>
      </c>
      <c r="F178" s="14">
        <v>131000.0</v>
      </c>
      <c r="G178" s="14">
        <v>4000.0</v>
      </c>
      <c r="H178" s="6">
        <v>1.0</v>
      </c>
      <c r="I178" s="14">
        <v>131000.0</v>
      </c>
      <c r="J178" s="5" t="s">
        <v>1005</v>
      </c>
      <c r="K178" s="15">
        <f t="shared" si="1"/>
        <v>0</v>
      </c>
      <c r="L178" s="15">
        <f t="shared" si="2"/>
        <v>131000</v>
      </c>
      <c r="M178" s="15">
        <f t="shared" si="3"/>
        <v>135000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8.0" customHeight="1">
      <c r="A179" s="5" t="s">
        <v>839</v>
      </c>
      <c r="B179" s="6">
        <v>2.0</v>
      </c>
      <c r="C179" s="5" t="s">
        <v>281</v>
      </c>
      <c r="D179" s="5" t="s">
        <v>729</v>
      </c>
      <c r="E179" s="12">
        <v>46167.421585648146</v>
      </c>
      <c r="F179" s="14">
        <v>230000.0</v>
      </c>
      <c r="G179" s="14">
        <v>9000.0</v>
      </c>
      <c r="H179" s="6">
        <v>4.0</v>
      </c>
      <c r="I179" s="14">
        <v>920000.0</v>
      </c>
      <c r="J179" s="5" t="s">
        <v>1007</v>
      </c>
      <c r="K179" s="15">
        <f t="shared" si="1"/>
        <v>0</v>
      </c>
      <c r="L179" s="15">
        <f t="shared" si="2"/>
        <v>920000</v>
      </c>
      <c r="M179" s="15">
        <f t="shared" si="3"/>
        <v>929000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8.0" customHeight="1">
      <c r="A180" s="5" t="s">
        <v>839</v>
      </c>
      <c r="B180" s="6">
        <v>3.0</v>
      </c>
      <c r="C180" s="5" t="s">
        <v>189</v>
      </c>
      <c r="D180" s="5" t="s">
        <v>191</v>
      </c>
      <c r="E180" s="12">
        <v>46167.421585648146</v>
      </c>
      <c r="F180" s="14">
        <v>315000.0</v>
      </c>
      <c r="G180" s="14">
        <v>16000.0</v>
      </c>
      <c r="H180" s="6">
        <v>2.0</v>
      </c>
      <c r="I180" s="14">
        <v>630000.0</v>
      </c>
      <c r="J180" s="5" t="s">
        <v>1011</v>
      </c>
      <c r="K180" s="15">
        <f t="shared" si="1"/>
        <v>0</v>
      </c>
      <c r="L180" s="15">
        <f t="shared" si="2"/>
        <v>630000</v>
      </c>
      <c r="M180" s="15">
        <f t="shared" si="3"/>
        <v>646000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8.0" customHeight="1">
      <c r="A181" s="5" t="s">
        <v>839</v>
      </c>
      <c r="B181" s="6">
        <v>4.0</v>
      </c>
      <c r="C181" s="5" t="s">
        <v>198</v>
      </c>
      <c r="D181" s="5" t="s">
        <v>178</v>
      </c>
      <c r="E181" s="12">
        <v>46167.421585648146</v>
      </c>
      <c r="F181" s="14">
        <v>149000.0</v>
      </c>
      <c r="G181" s="14">
        <v>9000.0</v>
      </c>
      <c r="H181" s="6">
        <v>4.0</v>
      </c>
      <c r="I181" s="14">
        <v>596000.0</v>
      </c>
      <c r="J181" s="5" t="s">
        <v>1013</v>
      </c>
      <c r="K181" s="15">
        <f t="shared" si="1"/>
        <v>0</v>
      </c>
      <c r="L181" s="15">
        <f t="shared" si="2"/>
        <v>596000</v>
      </c>
      <c r="M181" s="15">
        <f t="shared" si="3"/>
        <v>605000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8.0" customHeight="1">
      <c r="A182" s="5" t="s">
        <v>841</v>
      </c>
      <c r="B182" s="6">
        <v>1.0</v>
      </c>
      <c r="C182" s="5" t="s">
        <v>147</v>
      </c>
      <c r="D182" s="5" t="s">
        <v>397</v>
      </c>
      <c r="E182" s="12">
        <v>46162.09599537037</v>
      </c>
      <c r="F182" s="14">
        <v>180000.0</v>
      </c>
      <c r="G182" s="14">
        <v>5000.0</v>
      </c>
      <c r="H182" s="6">
        <v>1.0</v>
      </c>
      <c r="I182" s="14">
        <v>180000.0</v>
      </c>
      <c r="J182" s="5" t="s">
        <v>1016</v>
      </c>
      <c r="K182" s="15">
        <f t="shared" si="1"/>
        <v>0</v>
      </c>
      <c r="L182" s="15">
        <f t="shared" si="2"/>
        <v>180000</v>
      </c>
      <c r="M182" s="15">
        <f t="shared" si="3"/>
        <v>185000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8.0" customHeight="1">
      <c r="A183" s="5" t="s">
        <v>841</v>
      </c>
      <c r="B183" s="6">
        <v>2.0</v>
      </c>
      <c r="C183" s="5" t="s">
        <v>210</v>
      </c>
      <c r="D183" s="5" t="s">
        <v>589</v>
      </c>
      <c r="E183" s="12">
        <v>46162.09599537037</v>
      </c>
      <c r="F183" s="14">
        <v>95000.0</v>
      </c>
      <c r="G183" s="14">
        <v>4000.0</v>
      </c>
      <c r="H183" s="6">
        <v>3.0</v>
      </c>
      <c r="I183" s="14">
        <v>285000.0</v>
      </c>
      <c r="J183" s="5" t="s">
        <v>1018</v>
      </c>
      <c r="K183" s="15">
        <f t="shared" si="1"/>
        <v>0</v>
      </c>
      <c r="L183" s="15">
        <f t="shared" si="2"/>
        <v>285000</v>
      </c>
      <c r="M183" s="15">
        <f t="shared" si="3"/>
        <v>289000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8.0" customHeight="1">
      <c r="A184" s="5" t="s">
        <v>841</v>
      </c>
      <c r="B184" s="6">
        <v>3.0</v>
      </c>
      <c r="C184" s="5" t="s">
        <v>336</v>
      </c>
      <c r="D184" s="5" t="s">
        <v>337</v>
      </c>
      <c r="E184" s="12">
        <v>46162.09599537037</v>
      </c>
      <c r="F184" s="14">
        <v>266000.0</v>
      </c>
      <c r="G184" s="14">
        <v>13000.0</v>
      </c>
      <c r="H184" s="6">
        <v>3.0</v>
      </c>
      <c r="I184" s="14">
        <v>798000.0</v>
      </c>
      <c r="J184" s="5" t="s">
        <v>1021</v>
      </c>
      <c r="K184" s="15">
        <f t="shared" si="1"/>
        <v>0</v>
      </c>
      <c r="L184" s="15">
        <f t="shared" si="2"/>
        <v>798000</v>
      </c>
      <c r="M184" s="15">
        <f t="shared" si="3"/>
        <v>811000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8.0" customHeight="1">
      <c r="A185" s="5" t="s">
        <v>842</v>
      </c>
      <c r="B185" s="6">
        <v>1.0</v>
      </c>
      <c r="C185" s="5" t="s">
        <v>189</v>
      </c>
      <c r="D185" s="5" t="s">
        <v>191</v>
      </c>
      <c r="E185" s="12">
        <v>45332.01761574074</v>
      </c>
      <c r="F185" s="14">
        <v>350000.0</v>
      </c>
      <c r="G185" s="14">
        <v>21000.0</v>
      </c>
      <c r="H185" s="6">
        <v>4.0</v>
      </c>
      <c r="I185" s="14">
        <v>1400000.0</v>
      </c>
      <c r="J185" s="5" t="s">
        <v>1024</v>
      </c>
      <c r="K185" s="15">
        <f t="shared" si="1"/>
        <v>0</v>
      </c>
      <c r="L185" s="15">
        <f t="shared" si="2"/>
        <v>1400000</v>
      </c>
      <c r="M185" s="15">
        <f t="shared" si="3"/>
        <v>1421000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8.0" customHeight="1">
      <c r="A186" s="5" t="s">
        <v>842</v>
      </c>
      <c r="B186" s="6">
        <v>2.0</v>
      </c>
      <c r="C186" s="5" t="s">
        <v>376</v>
      </c>
      <c r="D186" s="5" t="s">
        <v>800</v>
      </c>
      <c r="E186" s="12">
        <v>45332.01761574074</v>
      </c>
      <c r="F186" s="14">
        <v>144000.0</v>
      </c>
      <c r="G186" s="14">
        <v>4000.0</v>
      </c>
      <c r="H186" s="6">
        <v>4.0</v>
      </c>
      <c r="I186" s="14">
        <v>576000.0</v>
      </c>
      <c r="J186" s="5" t="s">
        <v>1026</v>
      </c>
      <c r="K186" s="15">
        <f t="shared" si="1"/>
        <v>0</v>
      </c>
      <c r="L186" s="15">
        <f t="shared" si="2"/>
        <v>576000</v>
      </c>
      <c r="M186" s="15">
        <f t="shared" si="3"/>
        <v>580000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8.0" customHeight="1">
      <c r="A187" s="5" t="s">
        <v>844</v>
      </c>
      <c r="B187" s="6">
        <v>1.0</v>
      </c>
      <c r="C187" s="5" t="s">
        <v>507</v>
      </c>
      <c r="D187" s="5" t="s">
        <v>550</v>
      </c>
      <c r="E187" s="12">
        <v>45405.2256712963</v>
      </c>
      <c r="F187" s="14">
        <v>185000.0</v>
      </c>
      <c r="G187" s="14">
        <v>7000.0</v>
      </c>
      <c r="H187" s="6">
        <v>3.0</v>
      </c>
      <c r="I187" s="14">
        <v>555000.0</v>
      </c>
      <c r="J187" s="5" t="s">
        <v>1029</v>
      </c>
      <c r="K187" s="15">
        <f t="shared" si="1"/>
        <v>0</v>
      </c>
      <c r="L187" s="15">
        <f t="shared" si="2"/>
        <v>555000</v>
      </c>
      <c r="M187" s="15">
        <f t="shared" si="3"/>
        <v>562000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8.0" customHeight="1">
      <c r="A188" s="5" t="s">
        <v>845</v>
      </c>
      <c r="B188" s="6">
        <v>1.0</v>
      </c>
      <c r="C188" s="5" t="s">
        <v>189</v>
      </c>
      <c r="D188" s="5" t="s">
        <v>191</v>
      </c>
      <c r="E188" s="12">
        <v>45640.317881944444</v>
      </c>
      <c r="F188" s="14">
        <v>350000.0</v>
      </c>
      <c r="G188" s="14">
        <v>18000.0</v>
      </c>
      <c r="H188" s="6">
        <v>2.0</v>
      </c>
      <c r="I188" s="14">
        <v>700000.0</v>
      </c>
      <c r="J188" s="5" t="s">
        <v>1032</v>
      </c>
      <c r="K188" s="15">
        <f t="shared" si="1"/>
        <v>0</v>
      </c>
      <c r="L188" s="15">
        <f t="shared" si="2"/>
        <v>700000</v>
      </c>
      <c r="M188" s="15">
        <f t="shared" si="3"/>
        <v>718000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8.0" customHeight="1">
      <c r="A189" s="5" t="s">
        <v>845</v>
      </c>
      <c r="B189" s="6">
        <v>2.0</v>
      </c>
      <c r="C189" s="5" t="s">
        <v>283</v>
      </c>
      <c r="D189" s="5" t="s">
        <v>286</v>
      </c>
      <c r="E189" s="12">
        <v>45640.317881944444</v>
      </c>
      <c r="F189" s="14">
        <v>81000.0</v>
      </c>
      <c r="G189" s="14">
        <v>5000.0</v>
      </c>
      <c r="H189" s="6">
        <v>1.0</v>
      </c>
      <c r="I189" s="14">
        <v>81000.0</v>
      </c>
      <c r="J189" s="5" t="s">
        <v>1034</v>
      </c>
      <c r="K189" s="15">
        <f t="shared" si="1"/>
        <v>0</v>
      </c>
      <c r="L189" s="15">
        <f t="shared" si="2"/>
        <v>81000</v>
      </c>
      <c r="M189" s="15">
        <f t="shared" si="3"/>
        <v>86000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8.0" customHeight="1">
      <c r="A190" s="5" t="s">
        <v>845</v>
      </c>
      <c r="B190" s="6">
        <v>3.0</v>
      </c>
      <c r="C190" s="5" t="s">
        <v>507</v>
      </c>
      <c r="D190" s="5" t="s">
        <v>550</v>
      </c>
      <c r="E190" s="12">
        <v>45640.317881944444</v>
      </c>
      <c r="F190" s="14">
        <v>185000.0</v>
      </c>
      <c r="G190" s="14">
        <v>6000.0</v>
      </c>
      <c r="H190" s="6">
        <v>1.0</v>
      </c>
      <c r="I190" s="14">
        <v>185000.0</v>
      </c>
      <c r="J190" s="5" t="s">
        <v>1037</v>
      </c>
      <c r="K190" s="15">
        <f t="shared" si="1"/>
        <v>0</v>
      </c>
      <c r="L190" s="15">
        <f t="shared" si="2"/>
        <v>185000</v>
      </c>
      <c r="M190" s="15">
        <f t="shared" si="3"/>
        <v>191000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8.0" customHeight="1">
      <c r="A191" s="5" t="s">
        <v>847</v>
      </c>
      <c r="B191" s="6">
        <v>1.0</v>
      </c>
      <c r="C191" s="5" t="s">
        <v>424</v>
      </c>
      <c r="D191" s="5" t="s">
        <v>667</v>
      </c>
      <c r="E191" s="12">
        <v>46129.2234837963</v>
      </c>
      <c r="F191" s="14">
        <v>185000.0</v>
      </c>
      <c r="G191" s="14">
        <v>7000.0</v>
      </c>
      <c r="H191" s="6">
        <v>3.0</v>
      </c>
      <c r="I191" s="14">
        <v>555000.0</v>
      </c>
      <c r="J191" s="5" t="s">
        <v>1039</v>
      </c>
      <c r="K191" s="15">
        <f t="shared" si="1"/>
        <v>0</v>
      </c>
      <c r="L191" s="15">
        <f t="shared" si="2"/>
        <v>555000</v>
      </c>
      <c r="M191" s="15">
        <f t="shared" si="3"/>
        <v>562000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8.0" customHeight="1">
      <c r="A192" s="5" t="s">
        <v>848</v>
      </c>
      <c r="B192" s="6">
        <v>1.0</v>
      </c>
      <c r="C192" s="5" t="s">
        <v>147</v>
      </c>
      <c r="D192" s="5" t="s">
        <v>397</v>
      </c>
      <c r="E192" s="12">
        <v>46044.53246527778</v>
      </c>
      <c r="F192" s="14">
        <v>171000.0</v>
      </c>
      <c r="G192" s="14">
        <v>9000.0</v>
      </c>
      <c r="H192" s="6">
        <v>1.0</v>
      </c>
      <c r="I192" s="14">
        <v>171000.0</v>
      </c>
      <c r="J192" s="5" t="s">
        <v>1042</v>
      </c>
      <c r="K192" s="15">
        <f t="shared" si="1"/>
        <v>0</v>
      </c>
      <c r="L192" s="15">
        <f t="shared" si="2"/>
        <v>171000</v>
      </c>
      <c r="M192" s="15">
        <f t="shared" si="3"/>
        <v>180000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8.0" customHeight="1">
      <c r="A193" s="5" t="s">
        <v>850</v>
      </c>
      <c r="B193" s="6">
        <v>1.0</v>
      </c>
      <c r="C193" s="5" t="s">
        <v>281</v>
      </c>
      <c r="D193" s="5" t="s">
        <v>729</v>
      </c>
      <c r="E193" s="12">
        <v>45868.40168981482</v>
      </c>
      <c r="F193" s="14">
        <v>219000.0</v>
      </c>
      <c r="G193" s="14">
        <v>13000.0</v>
      </c>
      <c r="H193" s="6">
        <v>2.0</v>
      </c>
      <c r="I193" s="14">
        <v>438000.0</v>
      </c>
      <c r="J193" s="5" t="s">
        <v>1044</v>
      </c>
      <c r="K193" s="15">
        <f t="shared" si="1"/>
        <v>0</v>
      </c>
      <c r="L193" s="15">
        <f t="shared" si="2"/>
        <v>438000</v>
      </c>
      <c r="M193" s="15">
        <f t="shared" si="3"/>
        <v>451000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8.0" customHeight="1">
      <c r="A194" s="5" t="s">
        <v>850</v>
      </c>
      <c r="B194" s="6">
        <v>2.0</v>
      </c>
      <c r="C194" s="5" t="s">
        <v>336</v>
      </c>
      <c r="D194" s="5" t="s">
        <v>337</v>
      </c>
      <c r="E194" s="12">
        <v>45868.40168981482</v>
      </c>
      <c r="F194" s="14">
        <v>280000.0</v>
      </c>
      <c r="G194" s="14">
        <v>8000.0</v>
      </c>
      <c r="H194" s="6">
        <v>1.0</v>
      </c>
      <c r="I194" s="14">
        <v>280000.0</v>
      </c>
      <c r="J194" s="5" t="s">
        <v>1047</v>
      </c>
      <c r="K194" s="15">
        <f t="shared" si="1"/>
        <v>0</v>
      </c>
      <c r="L194" s="15">
        <f t="shared" si="2"/>
        <v>280000</v>
      </c>
      <c r="M194" s="15">
        <f t="shared" si="3"/>
        <v>288000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8.0" customHeight="1">
      <c r="A195" s="5" t="s">
        <v>850</v>
      </c>
      <c r="B195" s="6">
        <v>3.0</v>
      </c>
      <c r="C195" s="5" t="s">
        <v>356</v>
      </c>
      <c r="D195" s="5" t="s">
        <v>478</v>
      </c>
      <c r="E195" s="12">
        <v>45868.40168981482</v>
      </c>
      <c r="F195" s="14">
        <v>131000.0</v>
      </c>
      <c r="G195" s="14">
        <v>5000.0</v>
      </c>
      <c r="H195" s="6">
        <v>4.0</v>
      </c>
      <c r="I195" s="14">
        <v>524000.0</v>
      </c>
      <c r="J195" s="5" t="s">
        <v>1048</v>
      </c>
      <c r="K195" s="15">
        <f t="shared" si="1"/>
        <v>0</v>
      </c>
      <c r="L195" s="15">
        <f t="shared" si="2"/>
        <v>524000</v>
      </c>
      <c r="M195" s="15">
        <f t="shared" si="3"/>
        <v>529000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8.0" customHeight="1">
      <c r="A196" s="5" t="s">
        <v>850</v>
      </c>
      <c r="B196" s="6">
        <v>4.0</v>
      </c>
      <c r="C196" s="5" t="s">
        <v>527</v>
      </c>
      <c r="D196" s="5" t="s">
        <v>227</v>
      </c>
      <c r="E196" s="12">
        <v>45868.40168981482</v>
      </c>
      <c r="F196" s="14">
        <v>163000.0</v>
      </c>
      <c r="G196" s="14">
        <v>8000.0</v>
      </c>
      <c r="H196" s="6">
        <v>4.0</v>
      </c>
      <c r="I196" s="14">
        <v>652000.0</v>
      </c>
      <c r="J196" s="5" t="s">
        <v>1049</v>
      </c>
      <c r="K196" s="15">
        <f t="shared" si="1"/>
        <v>0</v>
      </c>
      <c r="L196" s="15">
        <f t="shared" si="2"/>
        <v>652000</v>
      </c>
      <c r="M196" s="15">
        <f t="shared" si="3"/>
        <v>660000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8.0" customHeight="1">
      <c r="A197" s="5" t="s">
        <v>851</v>
      </c>
      <c r="B197" s="6">
        <v>1.0</v>
      </c>
      <c r="C197" s="5" t="s">
        <v>177</v>
      </c>
      <c r="D197" s="5" t="s">
        <v>602</v>
      </c>
      <c r="E197" s="12">
        <v>45864.975381944445</v>
      </c>
      <c r="F197" s="14">
        <v>145000.0</v>
      </c>
      <c r="G197" s="14">
        <v>9000.0</v>
      </c>
      <c r="H197" s="6">
        <v>4.0</v>
      </c>
      <c r="I197" s="14">
        <v>580000.0</v>
      </c>
      <c r="J197" s="5" t="s">
        <v>1050</v>
      </c>
      <c r="K197" s="15">
        <f t="shared" si="1"/>
        <v>0</v>
      </c>
      <c r="L197" s="15">
        <f t="shared" si="2"/>
        <v>580000</v>
      </c>
      <c r="M197" s="15">
        <f t="shared" si="3"/>
        <v>589000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8.0" customHeight="1">
      <c r="A198" s="5" t="s">
        <v>853</v>
      </c>
      <c r="B198" s="6">
        <v>1.0</v>
      </c>
      <c r="C198" s="5" t="s">
        <v>241</v>
      </c>
      <c r="D198" s="5" t="s">
        <v>243</v>
      </c>
      <c r="E198" s="12">
        <v>45389.070763888885</v>
      </c>
      <c r="F198" s="14">
        <v>120000.0</v>
      </c>
      <c r="G198" s="14">
        <v>4000.0</v>
      </c>
      <c r="H198" s="6">
        <v>4.0</v>
      </c>
      <c r="I198" s="14">
        <v>480000.0</v>
      </c>
      <c r="J198" s="5" t="s">
        <v>1051</v>
      </c>
      <c r="K198" s="15">
        <f t="shared" si="1"/>
        <v>0</v>
      </c>
      <c r="L198" s="15">
        <f t="shared" si="2"/>
        <v>480000</v>
      </c>
      <c r="M198" s="15">
        <f t="shared" si="3"/>
        <v>484000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8.0" customHeight="1">
      <c r="A199" s="5" t="s">
        <v>853</v>
      </c>
      <c r="B199" s="6">
        <v>2.0</v>
      </c>
      <c r="C199" s="5" t="s">
        <v>376</v>
      </c>
      <c r="D199" s="5" t="s">
        <v>800</v>
      </c>
      <c r="E199" s="12">
        <v>45389.070763888885</v>
      </c>
      <c r="F199" s="14">
        <v>160000.0</v>
      </c>
      <c r="G199" s="14">
        <v>6000.0</v>
      </c>
      <c r="H199" s="6">
        <v>2.0</v>
      </c>
      <c r="I199" s="14">
        <v>320000.0</v>
      </c>
      <c r="J199" s="5" t="s">
        <v>1052</v>
      </c>
      <c r="K199" s="15">
        <f t="shared" si="1"/>
        <v>0</v>
      </c>
      <c r="L199" s="15">
        <f t="shared" si="2"/>
        <v>320000</v>
      </c>
      <c r="M199" s="15">
        <f t="shared" si="3"/>
        <v>326000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8.0" customHeight="1">
      <c r="A200" s="5" t="s">
        <v>853</v>
      </c>
      <c r="B200" s="6">
        <v>3.0</v>
      </c>
      <c r="C200" s="5" t="s">
        <v>147</v>
      </c>
      <c r="D200" s="5" t="s">
        <v>397</v>
      </c>
      <c r="E200" s="12">
        <v>45389.070763888885</v>
      </c>
      <c r="F200" s="14">
        <v>189000.0</v>
      </c>
      <c r="G200" s="14">
        <v>9000.0</v>
      </c>
      <c r="H200" s="6">
        <v>2.0</v>
      </c>
      <c r="I200" s="14">
        <v>378000.0</v>
      </c>
      <c r="J200" s="5" t="s">
        <v>1053</v>
      </c>
      <c r="K200" s="15">
        <f t="shared" si="1"/>
        <v>0</v>
      </c>
      <c r="L200" s="15">
        <f t="shared" si="2"/>
        <v>378000</v>
      </c>
      <c r="M200" s="15">
        <f t="shared" si="3"/>
        <v>387000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8.0" customHeight="1">
      <c r="A201" s="5" t="s">
        <v>853</v>
      </c>
      <c r="B201" s="6">
        <v>4.0</v>
      </c>
      <c r="C201" s="5" t="s">
        <v>189</v>
      </c>
      <c r="D201" s="5" t="s">
        <v>191</v>
      </c>
      <c r="E201" s="12">
        <v>45389.070763888885</v>
      </c>
      <c r="F201" s="14">
        <v>350000.0</v>
      </c>
      <c r="G201" s="14">
        <v>21000.0</v>
      </c>
      <c r="H201" s="6">
        <v>4.0</v>
      </c>
      <c r="I201" s="14">
        <v>1400000.0</v>
      </c>
      <c r="J201" s="5" t="s">
        <v>1054</v>
      </c>
      <c r="K201" s="15">
        <f t="shared" si="1"/>
        <v>0</v>
      </c>
      <c r="L201" s="15">
        <f t="shared" si="2"/>
        <v>1400000</v>
      </c>
      <c r="M201" s="15">
        <f t="shared" si="3"/>
        <v>1421000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8.0" customHeight="1">
      <c r="A202" s="5" t="s">
        <v>855</v>
      </c>
      <c r="B202" s="6">
        <v>1.0</v>
      </c>
      <c r="C202" s="5" t="s">
        <v>336</v>
      </c>
      <c r="D202" s="5" t="s">
        <v>337</v>
      </c>
      <c r="E202" s="12">
        <v>45413.288622685184</v>
      </c>
      <c r="F202" s="14">
        <v>280000.0</v>
      </c>
      <c r="G202" s="14">
        <v>8000.0</v>
      </c>
      <c r="H202" s="6">
        <v>3.0</v>
      </c>
      <c r="I202" s="14">
        <v>840000.0</v>
      </c>
      <c r="J202" s="5" t="s">
        <v>1055</v>
      </c>
      <c r="K202" s="15">
        <f t="shared" si="1"/>
        <v>0</v>
      </c>
      <c r="L202" s="15">
        <f t="shared" si="2"/>
        <v>840000</v>
      </c>
      <c r="M202" s="15">
        <f t="shared" si="3"/>
        <v>848000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8.0" customHeight="1">
      <c r="A203" s="5" t="s">
        <v>855</v>
      </c>
      <c r="B203" s="6">
        <v>2.0</v>
      </c>
      <c r="C203" s="5" t="s">
        <v>136</v>
      </c>
      <c r="D203" s="5" t="s">
        <v>445</v>
      </c>
      <c r="E203" s="12">
        <v>45413.288622685184</v>
      </c>
      <c r="F203" s="14">
        <v>711000.0</v>
      </c>
      <c r="G203" s="14">
        <v>28000.0</v>
      </c>
      <c r="H203" s="6">
        <v>3.0</v>
      </c>
      <c r="I203" s="14">
        <v>2133000.0</v>
      </c>
      <c r="J203" s="5" t="s">
        <v>1056</v>
      </c>
      <c r="K203" s="15">
        <f t="shared" si="1"/>
        <v>0</v>
      </c>
      <c r="L203" s="15">
        <f t="shared" si="2"/>
        <v>2133000</v>
      </c>
      <c r="M203" s="15">
        <f t="shared" si="3"/>
        <v>2161000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8.0" customHeight="1">
      <c r="A204" s="5" t="s">
        <v>855</v>
      </c>
      <c r="B204" s="6">
        <v>3.0</v>
      </c>
      <c r="C204" s="5" t="s">
        <v>311</v>
      </c>
      <c r="D204" s="5" t="s">
        <v>460</v>
      </c>
      <c r="E204" s="12">
        <v>45413.288622685184</v>
      </c>
      <c r="F204" s="14">
        <v>221000.0</v>
      </c>
      <c r="G204" s="14">
        <v>11000.0</v>
      </c>
      <c r="H204" s="6">
        <v>1.0</v>
      </c>
      <c r="I204" s="14">
        <v>221000.0</v>
      </c>
      <c r="J204" s="5" t="s">
        <v>1057</v>
      </c>
      <c r="K204" s="15">
        <f t="shared" si="1"/>
        <v>0</v>
      </c>
      <c r="L204" s="15">
        <f t="shared" si="2"/>
        <v>221000</v>
      </c>
      <c r="M204" s="15">
        <f t="shared" si="3"/>
        <v>232000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8.0" customHeight="1">
      <c r="A205" s="5" t="s">
        <v>856</v>
      </c>
      <c r="B205" s="6">
        <v>1.0</v>
      </c>
      <c r="C205" s="5" t="s">
        <v>177</v>
      </c>
      <c r="D205" s="5" t="s">
        <v>602</v>
      </c>
      <c r="E205" s="12">
        <v>45536.47681712963</v>
      </c>
      <c r="F205" s="14">
        <v>138000.0</v>
      </c>
      <c r="G205" s="14">
        <v>8000.0</v>
      </c>
      <c r="H205" s="6">
        <v>1.0</v>
      </c>
      <c r="I205" s="14">
        <v>138000.0</v>
      </c>
      <c r="J205" s="5" t="s">
        <v>1058</v>
      </c>
      <c r="K205" s="15">
        <f t="shared" si="1"/>
        <v>0</v>
      </c>
      <c r="L205" s="15">
        <f t="shared" si="2"/>
        <v>138000</v>
      </c>
      <c r="M205" s="15">
        <f t="shared" si="3"/>
        <v>146000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8.0" customHeight="1">
      <c r="A206" s="5" t="s">
        <v>856</v>
      </c>
      <c r="B206" s="6">
        <v>2.0</v>
      </c>
      <c r="C206" s="5" t="s">
        <v>122</v>
      </c>
      <c r="D206" s="5" t="s">
        <v>156</v>
      </c>
      <c r="E206" s="12">
        <v>45536.47681712963</v>
      </c>
      <c r="F206" s="14">
        <v>390000.0</v>
      </c>
      <c r="G206" s="14">
        <v>12000.0</v>
      </c>
      <c r="H206" s="6">
        <v>2.0</v>
      </c>
      <c r="I206" s="14">
        <v>780000.0</v>
      </c>
      <c r="J206" s="5" t="s">
        <v>1059</v>
      </c>
      <c r="K206" s="15">
        <f t="shared" si="1"/>
        <v>0</v>
      </c>
      <c r="L206" s="15">
        <f t="shared" si="2"/>
        <v>780000</v>
      </c>
      <c r="M206" s="15">
        <f t="shared" si="3"/>
        <v>792000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8.0" customHeight="1">
      <c r="A207" s="5" t="s">
        <v>858</v>
      </c>
      <c r="B207" s="6">
        <v>1.0</v>
      </c>
      <c r="C207" s="5" t="s">
        <v>210</v>
      </c>
      <c r="D207" s="5" t="s">
        <v>589</v>
      </c>
      <c r="E207" s="12">
        <v>45522.25262731482</v>
      </c>
      <c r="F207" s="14">
        <v>95000.0</v>
      </c>
      <c r="G207" s="14">
        <v>4000.0</v>
      </c>
      <c r="H207" s="6">
        <v>4.0</v>
      </c>
      <c r="I207" s="14">
        <v>380000.0</v>
      </c>
      <c r="J207" s="5" t="s">
        <v>1060</v>
      </c>
      <c r="K207" s="15">
        <f t="shared" si="1"/>
        <v>0</v>
      </c>
      <c r="L207" s="15">
        <f t="shared" si="2"/>
        <v>380000</v>
      </c>
      <c r="M207" s="15">
        <f t="shared" si="3"/>
        <v>384000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8.0" customHeight="1">
      <c r="A208" s="5" t="s">
        <v>858</v>
      </c>
      <c r="B208" s="6">
        <v>2.0</v>
      </c>
      <c r="C208" s="5" t="s">
        <v>336</v>
      </c>
      <c r="D208" s="5" t="s">
        <v>337</v>
      </c>
      <c r="E208" s="12">
        <v>45522.25262731482</v>
      </c>
      <c r="F208" s="14">
        <v>252000.0</v>
      </c>
      <c r="G208" s="14">
        <v>13000.0</v>
      </c>
      <c r="H208" s="6">
        <v>3.0</v>
      </c>
      <c r="I208" s="14">
        <v>756000.0</v>
      </c>
      <c r="J208" s="5" t="s">
        <v>1061</v>
      </c>
      <c r="K208" s="15">
        <f t="shared" si="1"/>
        <v>0</v>
      </c>
      <c r="L208" s="15">
        <f t="shared" si="2"/>
        <v>756000</v>
      </c>
      <c r="M208" s="15">
        <f t="shared" si="3"/>
        <v>769000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8.0" customHeight="1">
      <c r="A209" s="5" t="s">
        <v>858</v>
      </c>
      <c r="B209" s="6">
        <v>3.0</v>
      </c>
      <c r="C209" s="5" t="s">
        <v>112</v>
      </c>
      <c r="D209" s="5" t="s">
        <v>304</v>
      </c>
      <c r="E209" s="12">
        <v>45522.25262731482</v>
      </c>
      <c r="F209" s="14">
        <v>198000.0</v>
      </c>
      <c r="G209" s="14">
        <v>12000.0</v>
      </c>
      <c r="H209" s="6">
        <v>4.0</v>
      </c>
      <c r="I209" s="14">
        <v>792000.0</v>
      </c>
      <c r="J209" s="5" t="s">
        <v>1062</v>
      </c>
      <c r="K209" s="15">
        <f t="shared" si="1"/>
        <v>0</v>
      </c>
      <c r="L209" s="15">
        <f t="shared" si="2"/>
        <v>792000</v>
      </c>
      <c r="M209" s="15">
        <f t="shared" si="3"/>
        <v>804000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8.0" customHeight="1">
      <c r="A210" s="5" t="s">
        <v>859</v>
      </c>
      <c r="B210" s="6">
        <v>1.0</v>
      </c>
      <c r="C210" s="5" t="s">
        <v>281</v>
      </c>
      <c r="D210" s="5" t="s">
        <v>729</v>
      </c>
      <c r="E210" s="12">
        <v>45982.048472222225</v>
      </c>
      <c r="F210" s="14">
        <v>242000.0</v>
      </c>
      <c r="G210" s="14">
        <v>7000.0</v>
      </c>
      <c r="H210" s="6">
        <v>1.0</v>
      </c>
      <c r="I210" s="14">
        <v>242000.0</v>
      </c>
      <c r="J210" s="5" t="s">
        <v>1063</v>
      </c>
      <c r="K210" s="15">
        <f t="shared" si="1"/>
        <v>0</v>
      </c>
      <c r="L210" s="15">
        <f t="shared" si="2"/>
        <v>242000</v>
      </c>
      <c r="M210" s="15">
        <f t="shared" si="3"/>
        <v>249000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8.0" customHeight="1">
      <c r="A211" s="5" t="s">
        <v>861</v>
      </c>
      <c r="B211" s="6">
        <v>1.0</v>
      </c>
      <c r="C211" s="5" t="s">
        <v>242</v>
      </c>
      <c r="D211" s="5" t="s">
        <v>690</v>
      </c>
      <c r="E211" s="12">
        <v>46094.82523148148</v>
      </c>
      <c r="F211" s="14">
        <v>532000.0</v>
      </c>
      <c r="G211" s="14">
        <v>21000.0</v>
      </c>
      <c r="H211" s="6">
        <v>3.0</v>
      </c>
      <c r="I211" s="14">
        <v>1596000.0</v>
      </c>
      <c r="J211" s="5" t="s">
        <v>1064</v>
      </c>
      <c r="K211" s="15">
        <f t="shared" si="1"/>
        <v>0</v>
      </c>
      <c r="L211" s="15">
        <f t="shared" si="2"/>
        <v>1596000</v>
      </c>
      <c r="M211" s="15">
        <f t="shared" si="3"/>
        <v>1617000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8.0" customHeight="1">
      <c r="A212" s="5" t="s">
        <v>861</v>
      </c>
      <c r="B212" s="6">
        <v>2.0</v>
      </c>
      <c r="C212" s="5" t="s">
        <v>136</v>
      </c>
      <c r="D212" s="5" t="s">
        <v>445</v>
      </c>
      <c r="E212" s="12">
        <v>46094.82523148148</v>
      </c>
      <c r="F212" s="14">
        <v>830000.0</v>
      </c>
      <c r="G212" s="14">
        <v>42000.0</v>
      </c>
      <c r="H212" s="6">
        <v>3.0</v>
      </c>
      <c r="I212" s="14">
        <v>2490000.0</v>
      </c>
      <c r="J212" s="5" t="s">
        <v>1065</v>
      </c>
      <c r="K212" s="15">
        <f t="shared" si="1"/>
        <v>0</v>
      </c>
      <c r="L212" s="15">
        <f t="shared" si="2"/>
        <v>2490000</v>
      </c>
      <c r="M212" s="15">
        <f t="shared" si="3"/>
        <v>2532000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8.0" customHeight="1">
      <c r="A213" s="5" t="s">
        <v>861</v>
      </c>
      <c r="B213" s="6">
        <v>3.0</v>
      </c>
      <c r="C213" s="5" t="s">
        <v>177</v>
      </c>
      <c r="D213" s="5" t="s">
        <v>602</v>
      </c>
      <c r="E213" s="12">
        <v>46094.82523148148</v>
      </c>
      <c r="F213" s="14">
        <v>152000.0</v>
      </c>
      <c r="G213" s="14">
        <v>9000.0</v>
      </c>
      <c r="H213" s="6">
        <v>2.0</v>
      </c>
      <c r="I213" s="14">
        <v>304000.0</v>
      </c>
      <c r="J213" s="5" t="s">
        <v>1066</v>
      </c>
      <c r="K213" s="15">
        <f t="shared" si="1"/>
        <v>0</v>
      </c>
      <c r="L213" s="15">
        <f t="shared" si="2"/>
        <v>304000</v>
      </c>
      <c r="M213" s="15">
        <f t="shared" si="3"/>
        <v>313000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8.0" customHeight="1">
      <c r="A214" s="5" t="s">
        <v>861</v>
      </c>
      <c r="B214" s="6">
        <v>4.0</v>
      </c>
      <c r="C214" s="5" t="s">
        <v>331</v>
      </c>
      <c r="D214" s="5" t="s">
        <v>541</v>
      </c>
      <c r="E214" s="12">
        <v>46094.82523148148</v>
      </c>
      <c r="F214" s="14">
        <v>135000.0</v>
      </c>
      <c r="G214" s="14">
        <v>4000.0</v>
      </c>
      <c r="H214" s="6">
        <v>4.0</v>
      </c>
      <c r="I214" s="14">
        <v>540000.0</v>
      </c>
      <c r="J214" s="5" t="s">
        <v>1067</v>
      </c>
      <c r="K214" s="15">
        <f t="shared" si="1"/>
        <v>0</v>
      </c>
      <c r="L214" s="15">
        <f t="shared" si="2"/>
        <v>540000</v>
      </c>
      <c r="M214" s="15">
        <f t="shared" si="3"/>
        <v>544000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8.0" customHeight="1">
      <c r="A215" s="5" t="s">
        <v>862</v>
      </c>
      <c r="B215" s="6">
        <v>1.0</v>
      </c>
      <c r="C215" s="5" t="s">
        <v>281</v>
      </c>
      <c r="D215" s="5" t="s">
        <v>729</v>
      </c>
      <c r="E215" s="12">
        <v>45459.748715277776</v>
      </c>
      <c r="F215" s="14">
        <v>219000.0</v>
      </c>
      <c r="G215" s="14">
        <v>9000.0</v>
      </c>
      <c r="H215" s="6">
        <v>4.0</v>
      </c>
      <c r="I215" s="14">
        <v>876000.0</v>
      </c>
      <c r="J215" s="5" t="s">
        <v>1068</v>
      </c>
      <c r="K215" s="15">
        <f t="shared" si="1"/>
        <v>0</v>
      </c>
      <c r="L215" s="15">
        <f t="shared" si="2"/>
        <v>876000</v>
      </c>
      <c r="M215" s="15">
        <f t="shared" si="3"/>
        <v>885000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8.0" customHeight="1">
      <c r="A216" s="5" t="s">
        <v>862</v>
      </c>
      <c r="B216" s="6">
        <v>2.0</v>
      </c>
      <c r="C216" s="5" t="s">
        <v>376</v>
      </c>
      <c r="D216" s="5" t="s">
        <v>800</v>
      </c>
      <c r="E216" s="12">
        <v>45459.748715277776</v>
      </c>
      <c r="F216" s="14">
        <v>152000.0</v>
      </c>
      <c r="G216" s="14">
        <v>8000.0</v>
      </c>
      <c r="H216" s="6">
        <v>4.0</v>
      </c>
      <c r="I216" s="14">
        <v>608000.0</v>
      </c>
      <c r="J216" s="5" t="s">
        <v>1069</v>
      </c>
      <c r="K216" s="15">
        <f t="shared" si="1"/>
        <v>0</v>
      </c>
      <c r="L216" s="15">
        <f t="shared" si="2"/>
        <v>608000</v>
      </c>
      <c r="M216" s="15">
        <f t="shared" si="3"/>
        <v>616000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8.0" customHeight="1">
      <c r="A217" s="5" t="s">
        <v>862</v>
      </c>
      <c r="B217" s="6">
        <v>3.0</v>
      </c>
      <c r="C217" s="5" t="s">
        <v>336</v>
      </c>
      <c r="D217" s="5" t="s">
        <v>337</v>
      </c>
      <c r="E217" s="12">
        <v>45459.748715277776</v>
      </c>
      <c r="F217" s="14">
        <v>280000.0</v>
      </c>
      <c r="G217" s="14">
        <v>17000.0</v>
      </c>
      <c r="H217" s="6">
        <v>1.0</v>
      </c>
      <c r="I217" s="14">
        <v>280000.0</v>
      </c>
      <c r="J217" s="5" t="s">
        <v>1070</v>
      </c>
      <c r="K217" s="15">
        <f t="shared" si="1"/>
        <v>0</v>
      </c>
      <c r="L217" s="15">
        <f t="shared" si="2"/>
        <v>280000</v>
      </c>
      <c r="M217" s="15">
        <f t="shared" si="3"/>
        <v>297000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8.0" customHeight="1">
      <c r="A218" s="5" t="s">
        <v>864</v>
      </c>
      <c r="B218" s="6">
        <v>1.0</v>
      </c>
      <c r="C218" s="5" t="s">
        <v>465</v>
      </c>
      <c r="D218" s="5" t="s">
        <v>304</v>
      </c>
      <c r="E218" s="12">
        <v>45834.306238425925</v>
      </c>
      <c r="F218" s="14">
        <v>113000.0</v>
      </c>
      <c r="G218" s="14">
        <v>3000.0</v>
      </c>
      <c r="H218" s="6">
        <v>2.0</v>
      </c>
      <c r="I218" s="14">
        <v>226000.0</v>
      </c>
      <c r="J218" s="5" t="s">
        <v>1071</v>
      </c>
      <c r="K218" s="15">
        <f t="shared" si="1"/>
        <v>0</v>
      </c>
      <c r="L218" s="15">
        <f t="shared" si="2"/>
        <v>226000</v>
      </c>
      <c r="M218" s="15">
        <f t="shared" si="3"/>
        <v>229000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8.0" customHeight="1">
      <c r="A219" s="5" t="s">
        <v>864</v>
      </c>
      <c r="B219" s="6">
        <v>2.0</v>
      </c>
      <c r="C219" s="5" t="s">
        <v>424</v>
      </c>
      <c r="D219" s="5" t="s">
        <v>667</v>
      </c>
      <c r="E219" s="12">
        <v>45834.306238425925</v>
      </c>
      <c r="F219" s="14">
        <v>185000.0</v>
      </c>
      <c r="G219" s="14">
        <v>7000.0</v>
      </c>
      <c r="H219" s="6">
        <v>4.0</v>
      </c>
      <c r="I219" s="14">
        <v>740000.0</v>
      </c>
      <c r="J219" s="5" t="s">
        <v>1072</v>
      </c>
      <c r="K219" s="15">
        <f t="shared" si="1"/>
        <v>0</v>
      </c>
      <c r="L219" s="15">
        <f t="shared" si="2"/>
        <v>740000</v>
      </c>
      <c r="M219" s="15">
        <f t="shared" si="3"/>
        <v>747000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8.0" customHeight="1">
      <c r="A220" s="5" t="s">
        <v>864</v>
      </c>
      <c r="B220" s="6">
        <v>3.0</v>
      </c>
      <c r="C220" s="5" t="s">
        <v>311</v>
      </c>
      <c r="D220" s="5" t="s">
        <v>460</v>
      </c>
      <c r="E220" s="12">
        <v>45834.306238425925</v>
      </c>
      <c r="F220" s="14">
        <v>210000.0</v>
      </c>
      <c r="G220" s="14">
        <v>11000.0</v>
      </c>
      <c r="H220" s="6">
        <v>2.0</v>
      </c>
      <c r="I220" s="14">
        <v>420000.0</v>
      </c>
      <c r="J220" s="5" t="s">
        <v>1073</v>
      </c>
      <c r="K220" s="15">
        <f t="shared" si="1"/>
        <v>0</v>
      </c>
      <c r="L220" s="15">
        <f t="shared" si="2"/>
        <v>420000</v>
      </c>
      <c r="M220" s="15">
        <f t="shared" si="3"/>
        <v>431000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8.0" customHeight="1">
      <c r="A221" s="5" t="s">
        <v>864</v>
      </c>
      <c r="B221" s="6">
        <v>4.0</v>
      </c>
      <c r="C221" s="5" t="s">
        <v>122</v>
      </c>
      <c r="D221" s="5" t="s">
        <v>156</v>
      </c>
      <c r="E221" s="12">
        <v>45834.306238425925</v>
      </c>
      <c r="F221" s="14">
        <v>390000.0</v>
      </c>
      <c r="G221" s="14">
        <v>23000.0</v>
      </c>
      <c r="H221" s="6">
        <v>2.0</v>
      </c>
      <c r="I221" s="14">
        <v>780000.0</v>
      </c>
      <c r="J221" s="5" t="s">
        <v>1074</v>
      </c>
      <c r="K221" s="15">
        <f t="shared" si="1"/>
        <v>0</v>
      </c>
      <c r="L221" s="15">
        <f t="shared" si="2"/>
        <v>780000</v>
      </c>
      <c r="M221" s="15">
        <f t="shared" si="3"/>
        <v>803000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8.0" customHeight="1">
      <c r="A222" s="5" t="s">
        <v>865</v>
      </c>
      <c r="B222" s="6">
        <v>1.0</v>
      </c>
      <c r="C222" s="5" t="s">
        <v>402</v>
      </c>
      <c r="D222" s="5" t="s">
        <v>615</v>
      </c>
      <c r="E222" s="12">
        <v>45973.71581018518</v>
      </c>
      <c r="F222" s="14">
        <v>420000.0</v>
      </c>
      <c r="G222" s="14">
        <v>13000.0</v>
      </c>
      <c r="H222" s="6">
        <v>1.0</v>
      </c>
      <c r="I222" s="14">
        <v>420000.0</v>
      </c>
      <c r="J222" s="5" t="s">
        <v>1075</v>
      </c>
      <c r="K222" s="15">
        <f t="shared" si="1"/>
        <v>0</v>
      </c>
      <c r="L222" s="15">
        <f t="shared" si="2"/>
        <v>420000</v>
      </c>
      <c r="M222" s="15">
        <f t="shared" si="3"/>
        <v>433000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8.0" customHeight="1">
      <c r="A223" s="5" t="s">
        <v>865</v>
      </c>
      <c r="B223" s="6">
        <v>2.0</v>
      </c>
      <c r="C223" s="5" t="s">
        <v>296</v>
      </c>
      <c r="D223" s="5" t="s">
        <v>879</v>
      </c>
      <c r="E223" s="12">
        <v>45973.71581018518</v>
      </c>
      <c r="F223" s="14">
        <v>180000.0</v>
      </c>
      <c r="G223" s="14">
        <v>7000.0</v>
      </c>
      <c r="H223" s="6">
        <v>2.0</v>
      </c>
      <c r="I223" s="14">
        <v>360000.0</v>
      </c>
      <c r="J223" s="5" t="s">
        <v>1076</v>
      </c>
      <c r="K223" s="15">
        <f t="shared" si="1"/>
        <v>0</v>
      </c>
      <c r="L223" s="15">
        <f t="shared" si="2"/>
        <v>360000</v>
      </c>
      <c r="M223" s="15">
        <f t="shared" si="3"/>
        <v>367000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8.0" customHeight="1">
      <c r="A224" s="5" t="s">
        <v>867</v>
      </c>
      <c r="B224" s="6">
        <v>1.0</v>
      </c>
      <c r="C224" s="5" t="s">
        <v>271</v>
      </c>
      <c r="D224" s="5" t="s">
        <v>770</v>
      </c>
      <c r="E224" s="12">
        <v>45798.90724537037</v>
      </c>
      <c r="F224" s="14">
        <v>175000.0</v>
      </c>
      <c r="G224" s="14">
        <v>9000.0</v>
      </c>
      <c r="H224" s="6">
        <v>2.0</v>
      </c>
      <c r="I224" s="14">
        <v>350000.0</v>
      </c>
      <c r="J224" s="5" t="s">
        <v>1077</v>
      </c>
      <c r="K224" s="15">
        <f t="shared" si="1"/>
        <v>0</v>
      </c>
      <c r="L224" s="15">
        <f t="shared" si="2"/>
        <v>350000</v>
      </c>
      <c r="M224" s="15">
        <f t="shared" si="3"/>
        <v>359000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8.0" customHeight="1">
      <c r="A225" s="5" t="s">
        <v>867</v>
      </c>
      <c r="B225" s="6">
        <v>2.0</v>
      </c>
      <c r="C225" s="5" t="s">
        <v>545</v>
      </c>
      <c r="D225" s="5" t="s">
        <v>589</v>
      </c>
      <c r="E225" s="12">
        <v>45798.90724537037</v>
      </c>
      <c r="F225" s="14">
        <v>260000.0</v>
      </c>
      <c r="G225" s="14">
        <v>16000.0</v>
      </c>
      <c r="H225" s="6">
        <v>1.0</v>
      </c>
      <c r="I225" s="14">
        <v>260000.0</v>
      </c>
      <c r="J225" s="5" t="s">
        <v>1078</v>
      </c>
      <c r="K225" s="15">
        <f t="shared" si="1"/>
        <v>0</v>
      </c>
      <c r="L225" s="15">
        <f t="shared" si="2"/>
        <v>260000</v>
      </c>
      <c r="M225" s="15">
        <f t="shared" si="3"/>
        <v>276000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8.0" customHeight="1">
      <c r="A226" s="5" t="s">
        <v>867</v>
      </c>
      <c r="B226" s="6">
        <v>3.0</v>
      </c>
      <c r="C226" s="5" t="s">
        <v>177</v>
      </c>
      <c r="D226" s="5" t="s">
        <v>602</v>
      </c>
      <c r="E226" s="12">
        <v>45798.90724537037</v>
      </c>
      <c r="F226" s="14">
        <v>152000.0</v>
      </c>
      <c r="G226" s="14">
        <v>5000.0</v>
      </c>
      <c r="H226" s="6">
        <v>4.0</v>
      </c>
      <c r="I226" s="14">
        <v>608000.0</v>
      </c>
      <c r="J226" s="5" t="s">
        <v>1079</v>
      </c>
      <c r="K226" s="15">
        <f t="shared" si="1"/>
        <v>0</v>
      </c>
      <c r="L226" s="15">
        <f t="shared" si="2"/>
        <v>608000</v>
      </c>
      <c r="M226" s="15">
        <f t="shared" si="3"/>
        <v>613000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8.0" customHeight="1">
      <c r="A227" s="5" t="s">
        <v>867</v>
      </c>
      <c r="B227" s="6">
        <v>4.0</v>
      </c>
      <c r="C227" s="5" t="s">
        <v>210</v>
      </c>
      <c r="D227" s="5" t="s">
        <v>589</v>
      </c>
      <c r="E227" s="12">
        <v>45798.90724537037</v>
      </c>
      <c r="F227" s="14">
        <v>90000.0</v>
      </c>
      <c r="G227" s="14">
        <v>4000.0</v>
      </c>
      <c r="H227" s="6">
        <v>4.0</v>
      </c>
      <c r="I227" s="14">
        <v>360000.0</v>
      </c>
      <c r="J227" s="5" t="s">
        <v>1080</v>
      </c>
      <c r="K227" s="15">
        <f t="shared" si="1"/>
        <v>0</v>
      </c>
      <c r="L227" s="15">
        <f t="shared" si="2"/>
        <v>360000</v>
      </c>
      <c r="M227" s="15">
        <f t="shared" si="3"/>
        <v>364000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8.0" customHeight="1">
      <c r="A228" s="5" t="s">
        <v>868</v>
      </c>
      <c r="B228" s="6">
        <v>1.0</v>
      </c>
      <c r="C228" s="5" t="s">
        <v>210</v>
      </c>
      <c r="D228" s="5" t="s">
        <v>589</v>
      </c>
      <c r="E228" s="12">
        <v>45980.83431712963</v>
      </c>
      <c r="F228" s="14">
        <v>90000.0</v>
      </c>
      <c r="G228" s="14">
        <v>5000.0</v>
      </c>
      <c r="H228" s="6">
        <v>4.0</v>
      </c>
      <c r="I228" s="14">
        <v>360000.0</v>
      </c>
      <c r="J228" s="5" t="s">
        <v>1081</v>
      </c>
      <c r="K228" s="15">
        <f t="shared" si="1"/>
        <v>0</v>
      </c>
      <c r="L228" s="15">
        <f t="shared" si="2"/>
        <v>360000</v>
      </c>
      <c r="M228" s="15">
        <f t="shared" si="3"/>
        <v>365000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8.0" customHeight="1">
      <c r="A229" s="5" t="s">
        <v>868</v>
      </c>
      <c r="B229" s="6">
        <v>2.0</v>
      </c>
      <c r="C229" s="5" t="s">
        <v>545</v>
      </c>
      <c r="D229" s="5" t="s">
        <v>589</v>
      </c>
      <c r="E229" s="12">
        <v>45980.83431712963</v>
      </c>
      <c r="F229" s="14">
        <v>234000.0</v>
      </c>
      <c r="G229" s="14">
        <v>14000.0</v>
      </c>
      <c r="H229" s="6">
        <v>3.0</v>
      </c>
      <c r="I229" s="14">
        <v>702000.0</v>
      </c>
      <c r="J229" s="5" t="s">
        <v>1082</v>
      </c>
      <c r="K229" s="15">
        <f t="shared" si="1"/>
        <v>0</v>
      </c>
      <c r="L229" s="15">
        <f t="shared" si="2"/>
        <v>702000</v>
      </c>
      <c r="M229" s="15">
        <f t="shared" si="3"/>
        <v>716000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8.0" customHeight="1">
      <c r="A230" s="5" t="s">
        <v>870</v>
      </c>
      <c r="B230" s="6">
        <v>1.0</v>
      </c>
      <c r="C230" s="5" t="s">
        <v>320</v>
      </c>
      <c r="D230" s="5" t="s">
        <v>321</v>
      </c>
      <c r="E230" s="12">
        <v>45592.08996527778</v>
      </c>
      <c r="F230" s="14">
        <v>180000.0</v>
      </c>
      <c r="G230" s="14">
        <v>5000.0</v>
      </c>
      <c r="H230" s="6">
        <v>2.0</v>
      </c>
      <c r="I230" s="14">
        <v>360000.0</v>
      </c>
      <c r="J230" s="5" t="s">
        <v>1083</v>
      </c>
      <c r="K230" s="15">
        <f t="shared" si="1"/>
        <v>0</v>
      </c>
      <c r="L230" s="15">
        <f t="shared" si="2"/>
        <v>360000</v>
      </c>
      <c r="M230" s="15">
        <f t="shared" si="3"/>
        <v>365000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8.0" customHeight="1">
      <c r="A231" s="5" t="s">
        <v>870</v>
      </c>
      <c r="B231" s="6">
        <v>2.0</v>
      </c>
      <c r="C231" s="5" t="s">
        <v>527</v>
      </c>
      <c r="D231" s="5" t="s">
        <v>227</v>
      </c>
      <c r="E231" s="12">
        <v>45592.08996527778</v>
      </c>
      <c r="F231" s="14">
        <v>155000.0</v>
      </c>
      <c r="G231" s="14">
        <v>6000.0</v>
      </c>
      <c r="H231" s="6">
        <v>1.0</v>
      </c>
      <c r="I231" s="14">
        <v>155000.0</v>
      </c>
      <c r="J231" s="5" t="s">
        <v>1084</v>
      </c>
      <c r="K231" s="15">
        <f t="shared" si="1"/>
        <v>0</v>
      </c>
      <c r="L231" s="15">
        <f t="shared" si="2"/>
        <v>155000</v>
      </c>
      <c r="M231" s="15">
        <f t="shared" si="3"/>
        <v>161000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8.0" customHeight="1">
      <c r="A232" s="5" t="s">
        <v>870</v>
      </c>
      <c r="B232" s="6">
        <v>3.0</v>
      </c>
      <c r="C232" s="5" t="s">
        <v>242</v>
      </c>
      <c r="D232" s="5" t="s">
        <v>690</v>
      </c>
      <c r="E232" s="12">
        <v>45592.08996527778</v>
      </c>
      <c r="F232" s="14">
        <v>560000.0</v>
      </c>
      <c r="G232" s="14">
        <v>28000.0</v>
      </c>
      <c r="H232" s="6">
        <v>1.0</v>
      </c>
      <c r="I232" s="14">
        <v>560000.0</v>
      </c>
      <c r="J232" s="5" t="s">
        <v>1085</v>
      </c>
      <c r="K232" s="15">
        <f t="shared" si="1"/>
        <v>0</v>
      </c>
      <c r="L232" s="15">
        <f t="shared" si="2"/>
        <v>560000</v>
      </c>
      <c r="M232" s="15">
        <f t="shared" si="3"/>
        <v>588000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8.0" customHeight="1">
      <c r="A233" s="5" t="s">
        <v>870</v>
      </c>
      <c r="B233" s="6">
        <v>4.0</v>
      </c>
      <c r="C233" s="5" t="s">
        <v>184</v>
      </c>
      <c r="D233" s="5" t="s">
        <v>227</v>
      </c>
      <c r="E233" s="12">
        <v>45592.08996527778</v>
      </c>
      <c r="F233" s="14">
        <v>294000.0</v>
      </c>
      <c r="G233" s="14">
        <v>18000.0</v>
      </c>
      <c r="H233" s="6">
        <v>4.0</v>
      </c>
      <c r="I233" s="14">
        <v>1176000.0</v>
      </c>
      <c r="J233" s="5" t="s">
        <v>1086</v>
      </c>
      <c r="K233" s="15">
        <f t="shared" si="1"/>
        <v>0</v>
      </c>
      <c r="L233" s="15">
        <f t="shared" si="2"/>
        <v>1176000</v>
      </c>
      <c r="M233" s="15">
        <f t="shared" si="3"/>
        <v>1194000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8.0" customHeight="1">
      <c r="A234" s="5" t="s">
        <v>871</v>
      </c>
      <c r="B234" s="6">
        <v>1.0</v>
      </c>
      <c r="C234" s="5" t="s">
        <v>80</v>
      </c>
      <c r="D234" s="5" t="s">
        <v>81</v>
      </c>
      <c r="E234" s="12">
        <v>45821.060694444444</v>
      </c>
      <c r="F234" s="14">
        <v>441000.0</v>
      </c>
      <c r="G234" s="14">
        <v>13000.0</v>
      </c>
      <c r="H234" s="6">
        <v>4.0</v>
      </c>
      <c r="I234" s="14">
        <v>1764000.0</v>
      </c>
      <c r="J234" s="5" t="s">
        <v>1087</v>
      </c>
      <c r="K234" s="15">
        <f t="shared" si="1"/>
        <v>0</v>
      </c>
      <c r="L234" s="15">
        <f t="shared" si="2"/>
        <v>1764000</v>
      </c>
      <c r="M234" s="15">
        <f t="shared" si="3"/>
        <v>1777000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8.0" customHeight="1">
      <c r="A235" s="5" t="s">
        <v>871</v>
      </c>
      <c r="B235" s="6">
        <v>2.0</v>
      </c>
      <c r="C235" s="5" t="s">
        <v>147</v>
      </c>
      <c r="D235" s="5" t="s">
        <v>397</v>
      </c>
      <c r="E235" s="12">
        <v>45821.060694444444</v>
      </c>
      <c r="F235" s="14">
        <v>180000.0</v>
      </c>
      <c r="G235" s="14">
        <v>7000.0</v>
      </c>
      <c r="H235" s="6">
        <v>3.0</v>
      </c>
      <c r="I235" s="14">
        <v>540000.0</v>
      </c>
      <c r="J235" s="5" t="s">
        <v>1088</v>
      </c>
      <c r="K235" s="15">
        <f t="shared" si="1"/>
        <v>0</v>
      </c>
      <c r="L235" s="15">
        <f t="shared" si="2"/>
        <v>540000</v>
      </c>
      <c r="M235" s="15">
        <f t="shared" si="3"/>
        <v>547000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8.0" customHeight="1">
      <c r="A236" s="5" t="s">
        <v>873</v>
      </c>
      <c r="B236" s="6">
        <v>1.0</v>
      </c>
      <c r="C236" s="5" t="s">
        <v>43</v>
      </c>
      <c r="D236" s="5" t="s">
        <v>321</v>
      </c>
      <c r="E236" s="12">
        <v>45333.50315972222</v>
      </c>
      <c r="F236" s="14">
        <v>405000.0</v>
      </c>
      <c r="G236" s="14">
        <v>20000.0</v>
      </c>
      <c r="H236" s="6">
        <v>4.0</v>
      </c>
      <c r="I236" s="14">
        <v>1620000.0</v>
      </c>
      <c r="J236" s="5" t="s">
        <v>1089</v>
      </c>
      <c r="K236" s="15">
        <f t="shared" si="1"/>
        <v>0</v>
      </c>
      <c r="L236" s="15">
        <f t="shared" si="2"/>
        <v>1620000</v>
      </c>
      <c r="M236" s="15">
        <f t="shared" si="3"/>
        <v>1640000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8.0" customHeight="1">
      <c r="A237" s="5" t="s">
        <v>873</v>
      </c>
      <c r="B237" s="6">
        <v>2.0</v>
      </c>
      <c r="C237" s="5" t="s">
        <v>331</v>
      </c>
      <c r="D237" s="5" t="s">
        <v>541</v>
      </c>
      <c r="E237" s="12">
        <v>45333.50315972222</v>
      </c>
      <c r="F237" s="14">
        <v>135000.0</v>
      </c>
      <c r="G237" s="14">
        <v>8000.0</v>
      </c>
      <c r="H237" s="6">
        <v>1.0</v>
      </c>
      <c r="I237" s="14">
        <v>135000.0</v>
      </c>
      <c r="J237" s="5" t="s">
        <v>1090</v>
      </c>
      <c r="K237" s="15">
        <f t="shared" si="1"/>
        <v>0</v>
      </c>
      <c r="L237" s="15">
        <f t="shared" si="2"/>
        <v>135000</v>
      </c>
      <c r="M237" s="15">
        <f t="shared" si="3"/>
        <v>143000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8.0" customHeight="1">
      <c r="A238" s="5" t="s">
        <v>873</v>
      </c>
      <c r="B238" s="6">
        <v>3.0</v>
      </c>
      <c r="C238" s="5" t="s">
        <v>222</v>
      </c>
      <c r="D238" s="5" t="s">
        <v>414</v>
      </c>
      <c r="E238" s="12">
        <v>45333.50315972222</v>
      </c>
      <c r="F238" s="14">
        <v>299000.0</v>
      </c>
      <c r="G238" s="14">
        <v>9000.0</v>
      </c>
      <c r="H238" s="6">
        <v>2.0</v>
      </c>
      <c r="I238" s="14">
        <v>598000.0</v>
      </c>
      <c r="J238" s="5" t="s">
        <v>1091</v>
      </c>
      <c r="K238" s="15">
        <f t="shared" si="1"/>
        <v>0</v>
      </c>
      <c r="L238" s="15">
        <f t="shared" si="2"/>
        <v>598000</v>
      </c>
      <c r="M238" s="15">
        <f t="shared" si="3"/>
        <v>607000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8.0" customHeight="1">
      <c r="A239" s="5" t="s">
        <v>873</v>
      </c>
      <c r="B239" s="6">
        <v>4.0</v>
      </c>
      <c r="C239" s="5" t="s">
        <v>496</v>
      </c>
      <c r="D239" s="5" t="s">
        <v>397</v>
      </c>
      <c r="E239" s="12">
        <v>45333.50315972222</v>
      </c>
      <c r="F239" s="14">
        <v>220000.0</v>
      </c>
      <c r="G239" s="14">
        <v>9000.0</v>
      </c>
      <c r="H239" s="6">
        <v>1.0</v>
      </c>
      <c r="I239" s="14">
        <v>220000.0</v>
      </c>
      <c r="J239" s="5" t="s">
        <v>1092</v>
      </c>
      <c r="K239" s="15">
        <f t="shared" si="1"/>
        <v>0</v>
      </c>
      <c r="L239" s="15">
        <f t="shared" si="2"/>
        <v>220000</v>
      </c>
      <c r="M239" s="15">
        <f t="shared" si="3"/>
        <v>229000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8.0" customHeight="1">
      <c r="A240" s="5" t="s">
        <v>874</v>
      </c>
      <c r="B240" s="6">
        <v>1.0</v>
      </c>
      <c r="C240" s="5" t="s">
        <v>424</v>
      </c>
      <c r="D240" s="5" t="s">
        <v>667</v>
      </c>
      <c r="E240" s="12">
        <v>46153.64215277778</v>
      </c>
      <c r="F240" s="14">
        <v>195000.0</v>
      </c>
      <c r="G240" s="14">
        <v>10000.0</v>
      </c>
      <c r="H240" s="6">
        <v>2.0</v>
      </c>
      <c r="I240" s="14">
        <v>390000.0</v>
      </c>
      <c r="J240" s="5" t="s">
        <v>1093</v>
      </c>
      <c r="K240" s="15">
        <f t="shared" si="1"/>
        <v>0</v>
      </c>
      <c r="L240" s="15">
        <f t="shared" si="2"/>
        <v>390000</v>
      </c>
      <c r="M240" s="15">
        <f t="shared" si="3"/>
        <v>400000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8.0" customHeight="1">
      <c r="A241" s="5" t="s">
        <v>875</v>
      </c>
      <c r="B241" s="6">
        <v>1.0</v>
      </c>
      <c r="C241" s="5" t="s">
        <v>163</v>
      </c>
      <c r="D241" s="5" t="s">
        <v>550</v>
      </c>
      <c r="E241" s="12">
        <v>45364.888657407406</v>
      </c>
      <c r="F241" s="14">
        <v>320000.0</v>
      </c>
      <c r="G241" s="14">
        <v>19000.0</v>
      </c>
      <c r="H241" s="6">
        <v>1.0</v>
      </c>
      <c r="I241" s="14">
        <v>320000.0</v>
      </c>
      <c r="J241" s="5" t="s">
        <v>1094</v>
      </c>
      <c r="K241" s="15">
        <f t="shared" si="1"/>
        <v>0</v>
      </c>
      <c r="L241" s="15">
        <f t="shared" si="2"/>
        <v>320000</v>
      </c>
      <c r="M241" s="15">
        <f t="shared" si="3"/>
        <v>339000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8.0" customHeight="1">
      <c r="A242" s="5" t="s">
        <v>875</v>
      </c>
      <c r="B242" s="6">
        <v>2.0</v>
      </c>
      <c r="C242" s="5" t="s">
        <v>412</v>
      </c>
      <c r="D242" s="5" t="s">
        <v>707</v>
      </c>
      <c r="E242" s="12">
        <v>45364.888657407406</v>
      </c>
      <c r="F242" s="14">
        <v>163000.0</v>
      </c>
      <c r="G242" s="14">
        <v>5000.0</v>
      </c>
      <c r="H242" s="6">
        <v>4.0</v>
      </c>
      <c r="I242" s="14">
        <v>652000.0</v>
      </c>
      <c r="J242" s="5" t="s">
        <v>1095</v>
      </c>
      <c r="K242" s="15">
        <f t="shared" si="1"/>
        <v>0</v>
      </c>
      <c r="L242" s="15">
        <f t="shared" si="2"/>
        <v>652000</v>
      </c>
      <c r="M242" s="15">
        <f t="shared" si="3"/>
        <v>657000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8.0" customHeight="1">
      <c r="A243" s="5" t="s">
        <v>875</v>
      </c>
      <c r="B243" s="6">
        <v>3.0</v>
      </c>
      <c r="C243" s="5" t="s">
        <v>496</v>
      </c>
      <c r="D243" s="5" t="s">
        <v>397</v>
      </c>
      <c r="E243" s="12">
        <v>45364.888657407406</v>
      </c>
      <c r="F243" s="14">
        <v>198000.0</v>
      </c>
      <c r="G243" s="14">
        <v>8000.0</v>
      </c>
      <c r="H243" s="6">
        <v>4.0</v>
      </c>
      <c r="I243" s="14">
        <v>792000.0</v>
      </c>
      <c r="J243" s="5" t="s">
        <v>1096</v>
      </c>
      <c r="K243" s="15">
        <f t="shared" si="1"/>
        <v>0</v>
      </c>
      <c r="L243" s="15">
        <f t="shared" si="2"/>
        <v>792000</v>
      </c>
      <c r="M243" s="15">
        <f t="shared" si="3"/>
        <v>800000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8.0" customHeight="1">
      <c r="A244" s="5" t="s">
        <v>877</v>
      </c>
      <c r="B244" s="6">
        <v>1.0</v>
      </c>
      <c r="C244" s="5" t="s">
        <v>177</v>
      </c>
      <c r="D244" s="5" t="s">
        <v>602</v>
      </c>
      <c r="E244" s="12">
        <v>46142.94153935185</v>
      </c>
      <c r="F244" s="14">
        <v>131000.0</v>
      </c>
      <c r="G244" s="14">
        <v>7000.0</v>
      </c>
      <c r="H244" s="6">
        <v>1.0</v>
      </c>
      <c r="I244" s="14">
        <v>131000.0</v>
      </c>
      <c r="J244" s="5" t="s">
        <v>1097</v>
      </c>
      <c r="K244" s="15">
        <f t="shared" si="1"/>
        <v>0</v>
      </c>
      <c r="L244" s="15">
        <f t="shared" si="2"/>
        <v>131000</v>
      </c>
      <c r="M244" s="15">
        <f t="shared" si="3"/>
        <v>138000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8.0" customHeight="1">
      <c r="A245" s="5" t="s">
        <v>877</v>
      </c>
      <c r="B245" s="6">
        <v>2.0</v>
      </c>
      <c r="C245" s="5" t="s">
        <v>496</v>
      </c>
      <c r="D245" s="5" t="s">
        <v>397</v>
      </c>
      <c r="E245" s="12">
        <v>46142.94153935185</v>
      </c>
      <c r="F245" s="14">
        <v>209000.0</v>
      </c>
      <c r="G245" s="14">
        <v>13000.0</v>
      </c>
      <c r="H245" s="6">
        <v>4.0</v>
      </c>
      <c r="I245" s="14">
        <v>836000.0</v>
      </c>
      <c r="J245" s="5" t="s">
        <v>1098</v>
      </c>
      <c r="K245" s="15">
        <f t="shared" si="1"/>
        <v>0</v>
      </c>
      <c r="L245" s="15">
        <f t="shared" si="2"/>
        <v>836000</v>
      </c>
      <c r="M245" s="15">
        <f t="shared" si="3"/>
        <v>849000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8.0" customHeight="1">
      <c r="A246" s="5" t="s">
        <v>878</v>
      </c>
      <c r="B246" s="6">
        <v>1.0</v>
      </c>
      <c r="C246" s="5" t="s">
        <v>241</v>
      </c>
      <c r="D246" s="5" t="s">
        <v>243</v>
      </c>
      <c r="E246" s="12">
        <v>45572.07329861111</v>
      </c>
      <c r="F246" s="14">
        <v>120000.0</v>
      </c>
      <c r="G246" s="14">
        <v>4000.0</v>
      </c>
      <c r="H246" s="6">
        <v>1.0</v>
      </c>
      <c r="I246" s="14">
        <v>120000.0</v>
      </c>
      <c r="J246" s="5" t="s">
        <v>1099</v>
      </c>
      <c r="K246" s="15">
        <f t="shared" si="1"/>
        <v>0</v>
      </c>
      <c r="L246" s="15">
        <f t="shared" si="2"/>
        <v>120000</v>
      </c>
      <c r="M246" s="15">
        <f t="shared" si="3"/>
        <v>124000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8.0" customHeight="1">
      <c r="A247" s="5" t="s">
        <v>880</v>
      </c>
      <c r="B247" s="6">
        <v>1.0</v>
      </c>
      <c r="C247" s="5" t="s">
        <v>189</v>
      </c>
      <c r="D247" s="5" t="s">
        <v>191</v>
      </c>
      <c r="E247" s="12">
        <v>45391.39011574074</v>
      </c>
      <c r="F247" s="14">
        <v>350000.0</v>
      </c>
      <c r="G247" s="14">
        <v>14000.0</v>
      </c>
      <c r="H247" s="6">
        <v>1.0</v>
      </c>
      <c r="I247" s="14">
        <v>350000.0</v>
      </c>
      <c r="J247" s="5" t="s">
        <v>1100</v>
      </c>
      <c r="K247" s="15">
        <f t="shared" si="1"/>
        <v>0</v>
      </c>
      <c r="L247" s="15">
        <f t="shared" si="2"/>
        <v>350000</v>
      </c>
      <c r="M247" s="15">
        <f t="shared" si="3"/>
        <v>364000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8.0" customHeight="1">
      <c r="A248" s="5" t="s">
        <v>882</v>
      </c>
      <c r="B248" s="6">
        <v>1.0</v>
      </c>
      <c r="C248" s="5" t="s">
        <v>489</v>
      </c>
      <c r="D248" s="5" t="s">
        <v>445</v>
      </c>
      <c r="E248" s="12">
        <v>45605.58584490741</v>
      </c>
      <c r="F248" s="14">
        <v>100000.0</v>
      </c>
      <c r="G248" s="14">
        <v>5000.0</v>
      </c>
      <c r="H248" s="6">
        <v>4.0</v>
      </c>
      <c r="I248" s="14">
        <v>400000.0</v>
      </c>
      <c r="J248" s="5" t="s">
        <v>1101</v>
      </c>
      <c r="K248" s="15">
        <f t="shared" si="1"/>
        <v>0</v>
      </c>
      <c r="L248" s="15">
        <f t="shared" si="2"/>
        <v>400000</v>
      </c>
      <c r="M248" s="15">
        <f t="shared" si="3"/>
        <v>405000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8.0" customHeight="1">
      <c r="A249" s="5" t="s">
        <v>883</v>
      </c>
      <c r="B249" s="6">
        <v>1.0</v>
      </c>
      <c r="C249" s="5" t="s">
        <v>80</v>
      </c>
      <c r="D249" s="5" t="s">
        <v>81</v>
      </c>
      <c r="E249" s="12">
        <v>45508.68125</v>
      </c>
      <c r="F249" s="14">
        <v>399000.0</v>
      </c>
      <c r="G249" s="14">
        <v>24000.0</v>
      </c>
      <c r="H249" s="6">
        <v>4.0</v>
      </c>
      <c r="I249" s="14">
        <v>1596000.0</v>
      </c>
      <c r="J249" s="5" t="s">
        <v>1102</v>
      </c>
      <c r="K249" s="15">
        <f t="shared" si="1"/>
        <v>0</v>
      </c>
      <c r="L249" s="15">
        <f t="shared" si="2"/>
        <v>1596000</v>
      </c>
      <c r="M249" s="15">
        <f t="shared" si="3"/>
        <v>1620000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8.0" customHeight="1">
      <c r="A250" s="5" t="s">
        <v>885</v>
      </c>
      <c r="B250" s="6">
        <v>1.0</v>
      </c>
      <c r="C250" s="5" t="s">
        <v>527</v>
      </c>
      <c r="D250" s="5" t="s">
        <v>227</v>
      </c>
      <c r="E250" s="12">
        <v>45546.353368055556</v>
      </c>
      <c r="F250" s="14">
        <v>155000.0</v>
      </c>
      <c r="G250" s="14">
        <v>5000.0</v>
      </c>
      <c r="H250" s="6">
        <v>1.0</v>
      </c>
      <c r="I250" s="14">
        <v>155000.0</v>
      </c>
      <c r="J250" s="5" t="s">
        <v>1103</v>
      </c>
      <c r="K250" s="15">
        <f t="shared" si="1"/>
        <v>0</v>
      </c>
      <c r="L250" s="15">
        <f t="shared" si="2"/>
        <v>155000</v>
      </c>
      <c r="M250" s="15">
        <f t="shared" si="3"/>
        <v>160000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8.0" customHeight="1">
      <c r="A251" s="5" t="s">
        <v>885</v>
      </c>
      <c r="B251" s="6">
        <v>2.0</v>
      </c>
      <c r="C251" s="5" t="s">
        <v>198</v>
      </c>
      <c r="D251" s="5" t="s">
        <v>178</v>
      </c>
      <c r="E251" s="12">
        <v>45546.353368055556</v>
      </c>
      <c r="F251" s="14">
        <v>165000.0</v>
      </c>
      <c r="G251" s="14">
        <v>7000.0</v>
      </c>
      <c r="H251" s="6">
        <v>4.0</v>
      </c>
      <c r="I251" s="14">
        <v>660000.0</v>
      </c>
      <c r="J251" s="5" t="s">
        <v>1104</v>
      </c>
      <c r="K251" s="15">
        <f t="shared" si="1"/>
        <v>0</v>
      </c>
      <c r="L251" s="15">
        <f t="shared" si="2"/>
        <v>660000</v>
      </c>
      <c r="M251" s="15">
        <f t="shared" si="3"/>
        <v>667000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8.0" customHeight="1">
      <c r="A252" s="5" t="s">
        <v>885</v>
      </c>
      <c r="B252" s="6">
        <v>3.0</v>
      </c>
      <c r="C252" s="5" t="s">
        <v>147</v>
      </c>
      <c r="D252" s="5" t="s">
        <v>397</v>
      </c>
      <c r="E252" s="12">
        <v>45546.353368055556</v>
      </c>
      <c r="F252" s="14">
        <v>162000.0</v>
      </c>
      <c r="G252" s="14">
        <v>8000.0</v>
      </c>
      <c r="H252" s="6">
        <v>2.0</v>
      </c>
      <c r="I252" s="14">
        <v>324000.0</v>
      </c>
      <c r="J252" s="5" t="s">
        <v>1105</v>
      </c>
      <c r="K252" s="15">
        <f t="shared" si="1"/>
        <v>0</v>
      </c>
      <c r="L252" s="15">
        <f t="shared" si="2"/>
        <v>324000</v>
      </c>
      <c r="M252" s="15">
        <f t="shared" si="3"/>
        <v>332000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8.0" customHeight="1">
      <c r="A253" s="5" t="s">
        <v>886</v>
      </c>
      <c r="B253" s="6">
        <v>1.0</v>
      </c>
      <c r="C253" s="5" t="s">
        <v>257</v>
      </c>
      <c r="D253" s="5" t="s">
        <v>715</v>
      </c>
      <c r="E253" s="12">
        <v>45432.811261574076</v>
      </c>
      <c r="F253" s="14">
        <v>250000.0</v>
      </c>
      <c r="G253" s="14">
        <v>15000.0</v>
      </c>
      <c r="H253" s="6">
        <v>1.0</v>
      </c>
      <c r="I253" s="14">
        <v>250000.0</v>
      </c>
      <c r="J253" s="5" t="s">
        <v>1106</v>
      </c>
      <c r="K253" s="15">
        <f t="shared" si="1"/>
        <v>0</v>
      </c>
      <c r="L253" s="15">
        <f t="shared" si="2"/>
        <v>250000</v>
      </c>
      <c r="M253" s="15">
        <f t="shared" si="3"/>
        <v>265000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8.0" customHeight="1">
      <c r="A254" s="5" t="s">
        <v>886</v>
      </c>
      <c r="B254" s="6">
        <v>2.0</v>
      </c>
      <c r="C254" s="5" t="s">
        <v>242</v>
      </c>
      <c r="D254" s="5" t="s">
        <v>690</v>
      </c>
      <c r="E254" s="12">
        <v>45432.811261574076</v>
      </c>
      <c r="F254" s="14">
        <v>560000.0</v>
      </c>
      <c r="G254" s="14">
        <v>17000.0</v>
      </c>
      <c r="H254" s="6">
        <v>4.0</v>
      </c>
      <c r="I254" s="14">
        <v>2240000.0</v>
      </c>
      <c r="J254" s="5" t="s">
        <v>1107</v>
      </c>
      <c r="K254" s="15">
        <f t="shared" si="1"/>
        <v>0</v>
      </c>
      <c r="L254" s="15">
        <f t="shared" si="2"/>
        <v>2240000</v>
      </c>
      <c r="M254" s="15">
        <f t="shared" si="3"/>
        <v>2257000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8.0" customHeight="1">
      <c r="A255" s="5" t="s">
        <v>888</v>
      </c>
      <c r="B255" s="6">
        <v>1.0</v>
      </c>
      <c r="C255" s="5" t="s">
        <v>527</v>
      </c>
      <c r="D255" s="5" t="s">
        <v>227</v>
      </c>
      <c r="E255" s="12">
        <v>45799.4774537037</v>
      </c>
      <c r="F255" s="14">
        <v>147000.0</v>
      </c>
      <c r="G255" s="14">
        <v>6000.0</v>
      </c>
      <c r="H255" s="6">
        <v>4.0</v>
      </c>
      <c r="I255" s="14">
        <v>588000.0</v>
      </c>
      <c r="J255" s="5" t="s">
        <v>1108</v>
      </c>
      <c r="K255" s="15">
        <f t="shared" si="1"/>
        <v>0</v>
      </c>
      <c r="L255" s="15">
        <f t="shared" si="2"/>
        <v>588000</v>
      </c>
      <c r="M255" s="15">
        <f t="shared" si="3"/>
        <v>594000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8.0" customHeight="1">
      <c r="A256" s="5" t="s">
        <v>888</v>
      </c>
      <c r="B256" s="6">
        <v>2.0</v>
      </c>
      <c r="C256" s="5" t="s">
        <v>264</v>
      </c>
      <c r="D256" s="5" t="s">
        <v>266</v>
      </c>
      <c r="E256" s="12">
        <v>45799.4774537037</v>
      </c>
      <c r="F256" s="14">
        <v>305000.0</v>
      </c>
      <c r="G256" s="14">
        <v>15000.0</v>
      </c>
      <c r="H256" s="6">
        <v>2.0</v>
      </c>
      <c r="I256" s="14">
        <v>610000.0</v>
      </c>
      <c r="J256" s="5" t="s">
        <v>1109</v>
      </c>
      <c r="K256" s="15">
        <f t="shared" si="1"/>
        <v>0</v>
      </c>
      <c r="L256" s="15">
        <f t="shared" si="2"/>
        <v>610000</v>
      </c>
      <c r="M256" s="15">
        <f t="shared" si="3"/>
        <v>625000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8.0" customHeight="1">
      <c r="A257" s="5" t="s">
        <v>888</v>
      </c>
      <c r="B257" s="6">
        <v>3.0</v>
      </c>
      <c r="C257" s="5" t="s">
        <v>412</v>
      </c>
      <c r="D257" s="5" t="s">
        <v>707</v>
      </c>
      <c r="E257" s="12">
        <v>45799.4774537037</v>
      </c>
      <c r="F257" s="14">
        <v>147000.0</v>
      </c>
      <c r="G257" s="14">
        <v>9000.0</v>
      </c>
      <c r="H257" s="6">
        <v>1.0</v>
      </c>
      <c r="I257" s="14">
        <v>147000.0</v>
      </c>
      <c r="J257" s="5" t="s">
        <v>1110</v>
      </c>
      <c r="K257" s="15">
        <f t="shared" si="1"/>
        <v>0</v>
      </c>
      <c r="L257" s="15">
        <f t="shared" si="2"/>
        <v>147000</v>
      </c>
      <c r="M257" s="15">
        <f t="shared" si="3"/>
        <v>156000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8.0" customHeight="1">
      <c r="A258" s="5" t="s">
        <v>889</v>
      </c>
      <c r="B258" s="6">
        <v>1.0</v>
      </c>
      <c r="C258" s="5" t="s">
        <v>545</v>
      </c>
      <c r="D258" s="5" t="s">
        <v>589</v>
      </c>
      <c r="E258" s="12">
        <v>45658.86209490741</v>
      </c>
      <c r="F258" s="14">
        <v>260000.0</v>
      </c>
      <c r="G258" s="14">
        <v>8000.0</v>
      </c>
      <c r="H258" s="6">
        <v>2.0</v>
      </c>
      <c r="I258" s="14">
        <v>520000.0</v>
      </c>
      <c r="J258" s="5" t="s">
        <v>1111</v>
      </c>
      <c r="K258" s="15">
        <f t="shared" si="1"/>
        <v>0</v>
      </c>
      <c r="L258" s="15">
        <f t="shared" si="2"/>
        <v>520000</v>
      </c>
      <c r="M258" s="15">
        <f t="shared" si="3"/>
        <v>528000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8.0" customHeight="1">
      <c r="A259" s="5" t="s">
        <v>889</v>
      </c>
      <c r="B259" s="6">
        <v>2.0</v>
      </c>
      <c r="C259" s="5" t="s">
        <v>402</v>
      </c>
      <c r="D259" s="5" t="s">
        <v>615</v>
      </c>
      <c r="E259" s="12">
        <v>45658.86209490741</v>
      </c>
      <c r="F259" s="14">
        <v>420000.0</v>
      </c>
      <c r="G259" s="14">
        <v>17000.0</v>
      </c>
      <c r="H259" s="6">
        <v>2.0</v>
      </c>
      <c r="I259" s="14">
        <v>840000.0</v>
      </c>
      <c r="J259" s="5" t="s">
        <v>1112</v>
      </c>
      <c r="K259" s="15">
        <f t="shared" si="1"/>
        <v>0</v>
      </c>
      <c r="L259" s="15">
        <f t="shared" si="2"/>
        <v>840000</v>
      </c>
      <c r="M259" s="15">
        <f t="shared" si="3"/>
        <v>857000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8.0" customHeight="1">
      <c r="A260" s="5" t="s">
        <v>889</v>
      </c>
      <c r="B260" s="6">
        <v>3.0</v>
      </c>
      <c r="C260" s="5" t="s">
        <v>311</v>
      </c>
      <c r="D260" s="5" t="s">
        <v>460</v>
      </c>
      <c r="E260" s="12">
        <v>45658.86209490741</v>
      </c>
      <c r="F260" s="14">
        <v>189000.0</v>
      </c>
      <c r="G260" s="14">
        <v>9000.0</v>
      </c>
      <c r="H260" s="6">
        <v>1.0</v>
      </c>
      <c r="I260" s="14">
        <v>189000.0</v>
      </c>
      <c r="J260" s="5" t="s">
        <v>1113</v>
      </c>
      <c r="K260" s="15">
        <f t="shared" si="1"/>
        <v>0</v>
      </c>
      <c r="L260" s="15">
        <f t="shared" si="2"/>
        <v>189000</v>
      </c>
      <c r="M260" s="15">
        <f t="shared" si="3"/>
        <v>198000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8.0" customHeight="1">
      <c r="A261" s="5" t="s">
        <v>890</v>
      </c>
      <c r="B261" s="6">
        <v>1.0</v>
      </c>
      <c r="C261" s="5" t="s">
        <v>283</v>
      </c>
      <c r="D261" s="5" t="s">
        <v>286</v>
      </c>
      <c r="E261" s="12">
        <v>45840.9665625</v>
      </c>
      <c r="F261" s="14">
        <v>85000.0</v>
      </c>
      <c r="G261" s="14">
        <v>5000.0</v>
      </c>
      <c r="H261" s="6">
        <v>3.0</v>
      </c>
      <c r="I261" s="14">
        <v>255000.0</v>
      </c>
      <c r="J261" s="5" t="s">
        <v>1114</v>
      </c>
      <c r="K261" s="15">
        <f t="shared" si="1"/>
        <v>0</v>
      </c>
      <c r="L261" s="15">
        <f t="shared" si="2"/>
        <v>255000</v>
      </c>
      <c r="M261" s="15">
        <f t="shared" si="3"/>
        <v>260000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8.0" customHeight="1">
      <c r="A262" s="5" t="s">
        <v>892</v>
      </c>
      <c r="B262" s="6">
        <v>1.0</v>
      </c>
      <c r="C262" s="5" t="s">
        <v>496</v>
      </c>
      <c r="D262" s="5" t="s">
        <v>397</v>
      </c>
      <c r="E262" s="12">
        <v>46013.10658564815</v>
      </c>
      <c r="F262" s="14">
        <v>209000.0</v>
      </c>
      <c r="G262" s="14">
        <v>6000.0</v>
      </c>
      <c r="H262" s="6">
        <v>1.0</v>
      </c>
      <c r="I262" s="14">
        <v>209000.0</v>
      </c>
      <c r="J262" s="5" t="s">
        <v>1115</v>
      </c>
      <c r="K262" s="15">
        <f t="shared" si="1"/>
        <v>0</v>
      </c>
      <c r="L262" s="15">
        <f t="shared" si="2"/>
        <v>209000</v>
      </c>
      <c r="M262" s="15">
        <f t="shared" si="3"/>
        <v>215000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8.0" customHeight="1">
      <c r="A263" s="5" t="s">
        <v>892</v>
      </c>
      <c r="B263" s="6">
        <v>2.0</v>
      </c>
      <c r="C263" s="5" t="s">
        <v>281</v>
      </c>
      <c r="D263" s="5" t="s">
        <v>729</v>
      </c>
      <c r="E263" s="12">
        <v>46013.10658564815</v>
      </c>
      <c r="F263" s="14">
        <v>219000.0</v>
      </c>
      <c r="G263" s="14">
        <v>9000.0</v>
      </c>
      <c r="H263" s="6">
        <v>3.0</v>
      </c>
      <c r="I263" s="14">
        <v>657000.0</v>
      </c>
      <c r="J263" s="5" t="s">
        <v>1116</v>
      </c>
      <c r="K263" s="15">
        <f t="shared" si="1"/>
        <v>0</v>
      </c>
      <c r="L263" s="15">
        <f t="shared" si="2"/>
        <v>657000</v>
      </c>
      <c r="M263" s="15">
        <f t="shared" si="3"/>
        <v>666000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8.0" customHeight="1">
      <c r="A264" s="5" t="s">
        <v>893</v>
      </c>
      <c r="B264" s="6">
        <v>1.0</v>
      </c>
      <c r="C264" s="5" t="s">
        <v>424</v>
      </c>
      <c r="D264" s="5" t="s">
        <v>667</v>
      </c>
      <c r="E264" s="12">
        <v>45612.524872685186</v>
      </c>
      <c r="F264" s="14">
        <v>195000.0</v>
      </c>
      <c r="G264" s="14">
        <v>10000.0</v>
      </c>
      <c r="H264" s="6">
        <v>4.0</v>
      </c>
      <c r="I264" s="14">
        <v>780000.0</v>
      </c>
      <c r="J264" s="5" t="s">
        <v>1117</v>
      </c>
      <c r="K264" s="15">
        <f t="shared" si="1"/>
        <v>0</v>
      </c>
      <c r="L264" s="15">
        <f t="shared" si="2"/>
        <v>780000</v>
      </c>
      <c r="M264" s="15">
        <f t="shared" si="3"/>
        <v>790000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8.0" customHeight="1">
      <c r="A265" s="5" t="s">
        <v>895</v>
      </c>
      <c r="B265" s="6">
        <v>1.0</v>
      </c>
      <c r="C265" s="5" t="s">
        <v>257</v>
      </c>
      <c r="D265" s="5" t="s">
        <v>715</v>
      </c>
      <c r="E265" s="12">
        <v>46086.203368055554</v>
      </c>
      <c r="F265" s="14">
        <v>250000.0</v>
      </c>
      <c r="G265" s="14">
        <v>15000.0</v>
      </c>
      <c r="H265" s="6">
        <v>4.0</v>
      </c>
      <c r="I265" s="14">
        <v>1000000.0</v>
      </c>
      <c r="J265" s="5" t="s">
        <v>1118</v>
      </c>
      <c r="K265" s="15">
        <f t="shared" si="1"/>
        <v>0</v>
      </c>
      <c r="L265" s="15">
        <f t="shared" si="2"/>
        <v>1000000</v>
      </c>
      <c r="M265" s="15">
        <f t="shared" si="3"/>
        <v>1015000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8.0" customHeight="1">
      <c r="A266" s="5" t="s">
        <v>895</v>
      </c>
      <c r="B266" s="6">
        <v>2.0</v>
      </c>
      <c r="C266" s="5" t="s">
        <v>189</v>
      </c>
      <c r="D266" s="5" t="s">
        <v>191</v>
      </c>
      <c r="E266" s="12">
        <v>46086.203368055554</v>
      </c>
      <c r="F266" s="14">
        <v>350000.0</v>
      </c>
      <c r="G266" s="14">
        <v>11000.0</v>
      </c>
      <c r="H266" s="6">
        <v>2.0</v>
      </c>
      <c r="I266" s="14">
        <v>700000.0</v>
      </c>
      <c r="J266" s="5" t="s">
        <v>1119</v>
      </c>
      <c r="K266" s="15">
        <f t="shared" si="1"/>
        <v>0</v>
      </c>
      <c r="L266" s="15">
        <f t="shared" si="2"/>
        <v>700000</v>
      </c>
      <c r="M266" s="15">
        <f t="shared" si="3"/>
        <v>711000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8.0" customHeight="1">
      <c r="A267" s="5" t="s">
        <v>895</v>
      </c>
      <c r="B267" s="6">
        <v>3.0</v>
      </c>
      <c r="C267" s="5" t="s">
        <v>222</v>
      </c>
      <c r="D267" s="5" t="s">
        <v>414</v>
      </c>
      <c r="E267" s="12">
        <v>46086.203368055554</v>
      </c>
      <c r="F267" s="14">
        <v>257000.0</v>
      </c>
      <c r="G267" s="14">
        <v>10000.0</v>
      </c>
      <c r="H267" s="6">
        <v>2.0</v>
      </c>
      <c r="I267" s="14">
        <v>514000.0</v>
      </c>
      <c r="J267" s="5" t="s">
        <v>1120</v>
      </c>
      <c r="K267" s="15">
        <f t="shared" si="1"/>
        <v>0</v>
      </c>
      <c r="L267" s="15">
        <f t="shared" si="2"/>
        <v>514000</v>
      </c>
      <c r="M267" s="15">
        <f t="shared" si="3"/>
        <v>524000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8.0" customHeight="1">
      <c r="A268" s="5" t="s">
        <v>896</v>
      </c>
      <c r="B268" s="6">
        <v>1.0</v>
      </c>
      <c r="C268" s="5" t="s">
        <v>465</v>
      </c>
      <c r="D268" s="5" t="s">
        <v>304</v>
      </c>
      <c r="E268" s="12">
        <v>46018.07237268519</v>
      </c>
      <c r="F268" s="14">
        <v>119000.0</v>
      </c>
      <c r="G268" s="14">
        <v>6000.0</v>
      </c>
      <c r="H268" s="6">
        <v>4.0</v>
      </c>
      <c r="I268" s="14">
        <v>476000.0</v>
      </c>
      <c r="J268" s="5" t="s">
        <v>1121</v>
      </c>
      <c r="K268" s="15">
        <f t="shared" si="1"/>
        <v>0</v>
      </c>
      <c r="L268" s="15">
        <f t="shared" si="2"/>
        <v>476000</v>
      </c>
      <c r="M268" s="15">
        <f t="shared" si="3"/>
        <v>482000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8.0" customHeight="1">
      <c r="A269" s="5" t="s">
        <v>896</v>
      </c>
      <c r="B269" s="6">
        <v>2.0</v>
      </c>
      <c r="C269" s="5" t="s">
        <v>175</v>
      </c>
      <c r="D269" s="5" t="s">
        <v>178</v>
      </c>
      <c r="E269" s="12">
        <v>46018.07237268519</v>
      </c>
      <c r="F269" s="14">
        <v>142000.0</v>
      </c>
      <c r="G269" s="14">
        <v>9000.0</v>
      </c>
      <c r="H269" s="6">
        <v>3.0</v>
      </c>
      <c r="I269" s="14">
        <v>426000.0</v>
      </c>
      <c r="J269" s="5" t="s">
        <v>1122</v>
      </c>
      <c r="K269" s="15">
        <f t="shared" si="1"/>
        <v>0</v>
      </c>
      <c r="L269" s="15">
        <f t="shared" si="2"/>
        <v>426000</v>
      </c>
      <c r="M269" s="15">
        <f t="shared" si="3"/>
        <v>435000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8.0" customHeight="1">
      <c r="A270" s="5" t="s">
        <v>896</v>
      </c>
      <c r="B270" s="6">
        <v>3.0</v>
      </c>
      <c r="C270" s="5" t="s">
        <v>283</v>
      </c>
      <c r="D270" s="5" t="s">
        <v>286</v>
      </c>
      <c r="E270" s="12">
        <v>46018.07237268519</v>
      </c>
      <c r="F270" s="14">
        <v>85000.0</v>
      </c>
      <c r="G270" s="14">
        <v>3000.0</v>
      </c>
      <c r="H270" s="6">
        <v>3.0</v>
      </c>
      <c r="I270" s="14">
        <v>255000.0</v>
      </c>
      <c r="J270" s="5" t="s">
        <v>1123</v>
      </c>
      <c r="K270" s="15">
        <f t="shared" si="1"/>
        <v>0</v>
      </c>
      <c r="L270" s="15">
        <f t="shared" si="2"/>
        <v>255000</v>
      </c>
      <c r="M270" s="15">
        <f t="shared" si="3"/>
        <v>258000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8.0" customHeight="1">
      <c r="A271" s="5" t="s">
        <v>896</v>
      </c>
      <c r="B271" s="6">
        <v>4.0</v>
      </c>
      <c r="C271" s="5" t="s">
        <v>507</v>
      </c>
      <c r="D271" s="5" t="s">
        <v>550</v>
      </c>
      <c r="E271" s="12">
        <v>46018.07237268519</v>
      </c>
      <c r="F271" s="14">
        <v>176000.0</v>
      </c>
      <c r="G271" s="14">
        <v>7000.0</v>
      </c>
      <c r="H271" s="6">
        <v>3.0</v>
      </c>
      <c r="I271" s="14">
        <v>528000.0</v>
      </c>
      <c r="J271" s="5" t="s">
        <v>1124</v>
      </c>
      <c r="K271" s="15">
        <f t="shared" si="1"/>
        <v>0</v>
      </c>
      <c r="L271" s="15">
        <f t="shared" si="2"/>
        <v>528000</v>
      </c>
      <c r="M271" s="15">
        <f t="shared" si="3"/>
        <v>535000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8.0" customHeight="1">
      <c r="A272" s="5" t="s">
        <v>898</v>
      </c>
      <c r="B272" s="6">
        <v>1.0</v>
      </c>
      <c r="C272" s="5" t="s">
        <v>175</v>
      </c>
      <c r="D272" s="5" t="s">
        <v>178</v>
      </c>
      <c r="E272" s="12">
        <v>46023.11856481482</v>
      </c>
      <c r="F272" s="14">
        <v>135000.0</v>
      </c>
      <c r="G272" s="14">
        <v>7000.0</v>
      </c>
      <c r="H272" s="6">
        <v>4.0</v>
      </c>
      <c r="I272" s="14">
        <v>540000.0</v>
      </c>
      <c r="J272" s="5" t="s">
        <v>1125</v>
      </c>
      <c r="K272" s="15">
        <f t="shared" si="1"/>
        <v>0</v>
      </c>
      <c r="L272" s="15">
        <f t="shared" si="2"/>
        <v>540000</v>
      </c>
      <c r="M272" s="15">
        <f t="shared" si="3"/>
        <v>547000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8.0" customHeight="1">
      <c r="A273" s="5" t="s">
        <v>899</v>
      </c>
      <c r="B273" s="6">
        <v>1.0</v>
      </c>
      <c r="C273" s="5" t="s">
        <v>496</v>
      </c>
      <c r="D273" s="5" t="s">
        <v>397</v>
      </c>
      <c r="E273" s="12">
        <v>45576.94782407407</v>
      </c>
      <c r="F273" s="14">
        <v>220000.0</v>
      </c>
      <c r="G273" s="14">
        <v>13000.0</v>
      </c>
      <c r="H273" s="6">
        <v>4.0</v>
      </c>
      <c r="I273" s="14">
        <v>880000.0</v>
      </c>
      <c r="J273" s="5" t="s">
        <v>1126</v>
      </c>
      <c r="K273" s="15">
        <f t="shared" si="1"/>
        <v>0</v>
      </c>
      <c r="L273" s="15">
        <f t="shared" si="2"/>
        <v>880000</v>
      </c>
      <c r="M273" s="15">
        <f t="shared" si="3"/>
        <v>893000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8.0" customHeight="1">
      <c r="A274" s="5" t="s">
        <v>901</v>
      </c>
      <c r="B274" s="6">
        <v>1.0</v>
      </c>
      <c r="C274" s="5" t="s">
        <v>331</v>
      </c>
      <c r="D274" s="5" t="s">
        <v>541</v>
      </c>
      <c r="E274" s="12">
        <v>45877.88553240741</v>
      </c>
      <c r="F274" s="14">
        <v>122000.0</v>
      </c>
      <c r="G274" s="14">
        <v>4000.0</v>
      </c>
      <c r="H274" s="6">
        <v>4.0</v>
      </c>
      <c r="I274" s="14">
        <v>488000.0</v>
      </c>
      <c r="J274" s="5" t="s">
        <v>1127</v>
      </c>
      <c r="K274" s="15">
        <f t="shared" si="1"/>
        <v>0</v>
      </c>
      <c r="L274" s="15">
        <f t="shared" si="2"/>
        <v>488000</v>
      </c>
      <c r="M274" s="15">
        <f t="shared" si="3"/>
        <v>492000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8.0" customHeight="1">
      <c r="A275" s="5" t="s">
        <v>902</v>
      </c>
      <c r="B275" s="6">
        <v>1.0</v>
      </c>
      <c r="C275" s="5" t="s">
        <v>147</v>
      </c>
      <c r="D275" s="5" t="s">
        <v>397</v>
      </c>
      <c r="E275" s="12">
        <v>46004.36876157407</v>
      </c>
      <c r="F275" s="14">
        <v>180000.0</v>
      </c>
      <c r="G275" s="14">
        <v>7000.0</v>
      </c>
      <c r="H275" s="6">
        <v>2.0</v>
      </c>
      <c r="I275" s="14">
        <v>360000.0</v>
      </c>
      <c r="J275" s="5" t="s">
        <v>1128</v>
      </c>
      <c r="K275" s="15">
        <f t="shared" si="1"/>
        <v>0</v>
      </c>
      <c r="L275" s="15">
        <f t="shared" si="2"/>
        <v>360000</v>
      </c>
      <c r="M275" s="15">
        <f t="shared" si="3"/>
        <v>367000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8.0" customHeight="1">
      <c r="A276" s="5" t="s">
        <v>902</v>
      </c>
      <c r="B276" s="6">
        <v>2.0</v>
      </c>
      <c r="C276" s="5" t="s">
        <v>234</v>
      </c>
      <c r="D276" s="5" t="s">
        <v>701</v>
      </c>
      <c r="E276" s="12">
        <v>46004.36876157407</v>
      </c>
      <c r="F276" s="14">
        <v>205000.0</v>
      </c>
      <c r="G276" s="14">
        <v>10000.0</v>
      </c>
      <c r="H276" s="6">
        <v>1.0</v>
      </c>
      <c r="I276" s="14">
        <v>205000.0</v>
      </c>
      <c r="J276" s="5" t="s">
        <v>1129</v>
      </c>
      <c r="K276" s="15">
        <f t="shared" si="1"/>
        <v>0</v>
      </c>
      <c r="L276" s="15">
        <f t="shared" si="2"/>
        <v>205000</v>
      </c>
      <c r="M276" s="15">
        <f t="shared" si="3"/>
        <v>215000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8.0" customHeight="1">
      <c r="A277" s="5" t="s">
        <v>902</v>
      </c>
      <c r="B277" s="6">
        <v>3.0</v>
      </c>
      <c r="C277" s="5" t="s">
        <v>353</v>
      </c>
      <c r="D277" s="5" t="s">
        <v>156</v>
      </c>
      <c r="E277" s="12">
        <v>46004.36876157407</v>
      </c>
      <c r="F277" s="14">
        <v>125000.0</v>
      </c>
      <c r="G277" s="14">
        <v>8000.0</v>
      </c>
      <c r="H277" s="6">
        <v>4.0</v>
      </c>
      <c r="I277" s="14">
        <v>500000.0</v>
      </c>
      <c r="J277" s="5" t="s">
        <v>1130</v>
      </c>
      <c r="K277" s="15">
        <f t="shared" si="1"/>
        <v>0</v>
      </c>
      <c r="L277" s="15">
        <f t="shared" si="2"/>
        <v>500000</v>
      </c>
      <c r="M277" s="15">
        <f t="shared" si="3"/>
        <v>508000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8.0" customHeight="1">
      <c r="A278" s="5" t="s">
        <v>904</v>
      </c>
      <c r="B278" s="6">
        <v>1.0</v>
      </c>
      <c r="C278" s="5" t="s">
        <v>147</v>
      </c>
      <c r="D278" s="5" t="s">
        <v>397</v>
      </c>
      <c r="E278" s="12">
        <v>46170.55432870371</v>
      </c>
      <c r="F278" s="14">
        <v>180000.0</v>
      </c>
      <c r="G278" s="14">
        <v>5000.0</v>
      </c>
      <c r="H278" s="6">
        <v>3.0</v>
      </c>
      <c r="I278" s="14">
        <v>540000.0</v>
      </c>
      <c r="J278" s="5" t="s">
        <v>1131</v>
      </c>
      <c r="K278" s="15">
        <f t="shared" si="1"/>
        <v>0</v>
      </c>
      <c r="L278" s="15">
        <f t="shared" si="2"/>
        <v>540000</v>
      </c>
      <c r="M278" s="15">
        <f t="shared" si="3"/>
        <v>545000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8.0" customHeight="1">
      <c r="A279" s="5" t="s">
        <v>904</v>
      </c>
      <c r="B279" s="6">
        <v>2.0</v>
      </c>
      <c r="C279" s="5" t="s">
        <v>283</v>
      </c>
      <c r="D279" s="5" t="s">
        <v>286</v>
      </c>
      <c r="E279" s="12">
        <v>46170.55432870371</v>
      </c>
      <c r="F279" s="14">
        <v>85000.0</v>
      </c>
      <c r="G279" s="14">
        <v>3000.0</v>
      </c>
      <c r="H279" s="6">
        <v>2.0</v>
      </c>
      <c r="I279" s="14">
        <v>170000.0</v>
      </c>
      <c r="J279" s="5" t="s">
        <v>1132</v>
      </c>
      <c r="K279" s="15">
        <f t="shared" si="1"/>
        <v>0</v>
      </c>
      <c r="L279" s="15">
        <f t="shared" si="2"/>
        <v>170000</v>
      </c>
      <c r="M279" s="15">
        <f t="shared" si="3"/>
        <v>173000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8.0" customHeight="1">
      <c r="A280" s="5" t="s">
        <v>904</v>
      </c>
      <c r="B280" s="6">
        <v>3.0</v>
      </c>
      <c r="C280" s="5" t="s">
        <v>356</v>
      </c>
      <c r="D280" s="5" t="s">
        <v>478</v>
      </c>
      <c r="E280" s="12">
        <v>46170.55432870371</v>
      </c>
      <c r="F280" s="14">
        <v>131000.0</v>
      </c>
      <c r="G280" s="14">
        <v>7000.0</v>
      </c>
      <c r="H280" s="6">
        <v>4.0</v>
      </c>
      <c r="I280" s="14">
        <v>524000.0</v>
      </c>
      <c r="J280" s="5" t="s">
        <v>1133</v>
      </c>
      <c r="K280" s="15">
        <f t="shared" si="1"/>
        <v>0</v>
      </c>
      <c r="L280" s="15">
        <f t="shared" si="2"/>
        <v>524000</v>
      </c>
      <c r="M280" s="15">
        <f t="shared" si="3"/>
        <v>531000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8.0" customHeight="1">
      <c r="A281" s="5" t="s">
        <v>904</v>
      </c>
      <c r="B281" s="6">
        <v>4.0</v>
      </c>
      <c r="C281" s="5" t="s">
        <v>177</v>
      </c>
      <c r="D281" s="5" t="s">
        <v>602</v>
      </c>
      <c r="E281" s="12">
        <v>46170.55432870371</v>
      </c>
      <c r="F281" s="14">
        <v>152000.0</v>
      </c>
      <c r="G281" s="14">
        <v>9000.0</v>
      </c>
      <c r="H281" s="6">
        <v>1.0</v>
      </c>
      <c r="I281" s="14">
        <v>152000.0</v>
      </c>
      <c r="J281" s="5" t="s">
        <v>1134</v>
      </c>
      <c r="K281" s="15">
        <f t="shared" si="1"/>
        <v>0</v>
      </c>
      <c r="L281" s="15">
        <f t="shared" si="2"/>
        <v>152000</v>
      </c>
      <c r="M281" s="15">
        <f t="shared" si="3"/>
        <v>161000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8.0" customHeight="1">
      <c r="A282" s="5" t="s">
        <v>906</v>
      </c>
      <c r="B282" s="6">
        <v>1.0</v>
      </c>
      <c r="C282" s="5" t="s">
        <v>189</v>
      </c>
      <c r="D282" s="5" t="s">
        <v>191</v>
      </c>
      <c r="E282" s="12">
        <v>45998.89579861111</v>
      </c>
      <c r="F282" s="14">
        <v>333000.0</v>
      </c>
      <c r="G282" s="14">
        <v>10000.0</v>
      </c>
      <c r="H282" s="6">
        <v>1.0</v>
      </c>
      <c r="I282" s="14">
        <v>333000.0</v>
      </c>
      <c r="J282" s="5" t="s">
        <v>1135</v>
      </c>
      <c r="K282" s="15">
        <f t="shared" si="1"/>
        <v>0</v>
      </c>
      <c r="L282" s="15">
        <f t="shared" si="2"/>
        <v>333000</v>
      </c>
      <c r="M282" s="15">
        <f t="shared" si="3"/>
        <v>343000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8.0" customHeight="1">
      <c r="A283" s="5" t="s">
        <v>907</v>
      </c>
      <c r="B283" s="6">
        <v>1.0</v>
      </c>
      <c r="C283" s="5" t="s">
        <v>496</v>
      </c>
      <c r="D283" s="5" t="s">
        <v>397</v>
      </c>
      <c r="E283" s="12">
        <v>46220.41869212963</v>
      </c>
      <c r="F283" s="14">
        <v>209000.0</v>
      </c>
      <c r="G283" s="14">
        <v>8000.0</v>
      </c>
      <c r="H283" s="6">
        <v>4.0</v>
      </c>
      <c r="I283" s="14">
        <v>836000.0</v>
      </c>
      <c r="J283" s="5" t="s">
        <v>1136</v>
      </c>
      <c r="K283" s="15">
        <f t="shared" si="1"/>
        <v>0</v>
      </c>
      <c r="L283" s="15">
        <f t="shared" si="2"/>
        <v>836000</v>
      </c>
      <c r="M283" s="15">
        <f t="shared" si="3"/>
        <v>844000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8.0" customHeight="1">
      <c r="A284" s="5" t="s">
        <v>907</v>
      </c>
      <c r="B284" s="6">
        <v>2.0</v>
      </c>
      <c r="C284" s="5" t="s">
        <v>402</v>
      </c>
      <c r="D284" s="5" t="s">
        <v>615</v>
      </c>
      <c r="E284" s="12">
        <v>46220.41869212963</v>
      </c>
      <c r="F284" s="14">
        <v>399000.0</v>
      </c>
      <c r="G284" s="14">
        <v>20000.0</v>
      </c>
      <c r="H284" s="6">
        <v>1.0</v>
      </c>
      <c r="I284" s="14">
        <v>399000.0</v>
      </c>
      <c r="J284" s="5" t="s">
        <v>1137</v>
      </c>
      <c r="K284" s="15">
        <f t="shared" si="1"/>
        <v>0</v>
      </c>
      <c r="L284" s="15">
        <f t="shared" si="2"/>
        <v>399000</v>
      </c>
      <c r="M284" s="15">
        <f t="shared" si="3"/>
        <v>419000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8.0" customHeight="1">
      <c r="A285" s="5" t="s">
        <v>907</v>
      </c>
      <c r="B285" s="6">
        <v>3.0</v>
      </c>
      <c r="C285" s="5" t="s">
        <v>356</v>
      </c>
      <c r="D285" s="5" t="s">
        <v>478</v>
      </c>
      <c r="E285" s="12">
        <v>46220.41869212963</v>
      </c>
      <c r="F285" s="14">
        <v>152000.0</v>
      </c>
      <c r="G285" s="14">
        <v>9000.0</v>
      </c>
      <c r="H285" s="6">
        <v>1.0</v>
      </c>
      <c r="I285" s="14">
        <v>152000.0</v>
      </c>
      <c r="J285" s="5" t="s">
        <v>1138</v>
      </c>
      <c r="K285" s="15">
        <f t="shared" si="1"/>
        <v>0</v>
      </c>
      <c r="L285" s="15">
        <f t="shared" si="2"/>
        <v>152000</v>
      </c>
      <c r="M285" s="15">
        <f t="shared" si="3"/>
        <v>161000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8.0" customHeight="1">
      <c r="A286" s="5" t="s">
        <v>907</v>
      </c>
      <c r="B286" s="6">
        <v>4.0</v>
      </c>
      <c r="C286" s="5" t="s">
        <v>80</v>
      </c>
      <c r="D286" s="5" t="s">
        <v>81</v>
      </c>
      <c r="E286" s="12">
        <v>46220.41869212963</v>
      </c>
      <c r="F286" s="14">
        <v>420000.0</v>
      </c>
      <c r="G286" s="14">
        <v>13000.0</v>
      </c>
      <c r="H286" s="6">
        <v>2.0</v>
      </c>
      <c r="I286" s="14">
        <v>840000.0</v>
      </c>
      <c r="J286" s="5" t="s">
        <v>1139</v>
      </c>
      <c r="K286" s="15">
        <f t="shared" si="1"/>
        <v>0</v>
      </c>
      <c r="L286" s="15">
        <f t="shared" si="2"/>
        <v>840000</v>
      </c>
      <c r="M286" s="15">
        <f t="shared" si="3"/>
        <v>853000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8.0" customHeight="1">
      <c r="A287" s="5" t="s">
        <v>909</v>
      </c>
      <c r="B287" s="6">
        <v>1.0</v>
      </c>
      <c r="C287" s="5" t="s">
        <v>331</v>
      </c>
      <c r="D287" s="5" t="s">
        <v>541</v>
      </c>
      <c r="E287" s="12">
        <v>45500.152094907404</v>
      </c>
      <c r="F287" s="14">
        <v>135000.0</v>
      </c>
      <c r="G287" s="14">
        <v>5000.0</v>
      </c>
      <c r="H287" s="6">
        <v>1.0</v>
      </c>
      <c r="I287" s="14">
        <v>135000.0</v>
      </c>
      <c r="J287" s="5" t="s">
        <v>1140</v>
      </c>
      <c r="K287" s="15">
        <f t="shared" si="1"/>
        <v>0</v>
      </c>
      <c r="L287" s="15">
        <f t="shared" si="2"/>
        <v>135000</v>
      </c>
      <c r="M287" s="15">
        <f t="shared" si="3"/>
        <v>140000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8.0" customHeight="1">
      <c r="A288" s="5" t="s">
        <v>909</v>
      </c>
      <c r="B288" s="6">
        <v>2.0</v>
      </c>
      <c r="C288" s="5" t="s">
        <v>356</v>
      </c>
      <c r="D288" s="5" t="s">
        <v>478</v>
      </c>
      <c r="E288" s="12">
        <v>45500.152094907404</v>
      </c>
      <c r="F288" s="14">
        <v>131000.0</v>
      </c>
      <c r="G288" s="14">
        <v>7000.0</v>
      </c>
      <c r="H288" s="6">
        <v>4.0</v>
      </c>
      <c r="I288" s="14">
        <v>524000.0</v>
      </c>
      <c r="J288" s="5" t="s">
        <v>1141</v>
      </c>
      <c r="K288" s="15">
        <f t="shared" si="1"/>
        <v>0</v>
      </c>
      <c r="L288" s="15">
        <f t="shared" si="2"/>
        <v>524000</v>
      </c>
      <c r="M288" s="15">
        <f t="shared" si="3"/>
        <v>531000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8.0" customHeight="1">
      <c r="A289" s="5" t="s">
        <v>909</v>
      </c>
      <c r="B289" s="6">
        <v>3.0</v>
      </c>
      <c r="C289" s="5" t="s">
        <v>412</v>
      </c>
      <c r="D289" s="5" t="s">
        <v>707</v>
      </c>
      <c r="E289" s="12">
        <v>45500.152094907404</v>
      </c>
      <c r="F289" s="14">
        <v>155000.0</v>
      </c>
      <c r="G289" s="14">
        <v>9000.0</v>
      </c>
      <c r="H289" s="6">
        <v>1.0</v>
      </c>
      <c r="I289" s="14">
        <v>155000.0</v>
      </c>
      <c r="J289" s="5" t="s">
        <v>1142</v>
      </c>
      <c r="K289" s="15">
        <f t="shared" si="1"/>
        <v>0</v>
      </c>
      <c r="L289" s="15">
        <f t="shared" si="2"/>
        <v>155000</v>
      </c>
      <c r="M289" s="15">
        <f t="shared" si="3"/>
        <v>164000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8.0" customHeight="1">
      <c r="A290" s="5" t="s">
        <v>911</v>
      </c>
      <c r="B290" s="6">
        <v>1.0</v>
      </c>
      <c r="C290" s="5" t="s">
        <v>234</v>
      </c>
      <c r="D290" s="5" t="s">
        <v>701</v>
      </c>
      <c r="E290" s="12">
        <v>46029.41287037037</v>
      </c>
      <c r="F290" s="14">
        <v>185000.0</v>
      </c>
      <c r="G290" s="14">
        <v>6000.0</v>
      </c>
      <c r="H290" s="6">
        <v>2.0</v>
      </c>
      <c r="I290" s="14">
        <v>370000.0</v>
      </c>
      <c r="J290" s="5" t="s">
        <v>1143</v>
      </c>
      <c r="K290" s="15">
        <f t="shared" si="1"/>
        <v>0</v>
      </c>
      <c r="L290" s="15">
        <f t="shared" si="2"/>
        <v>370000</v>
      </c>
      <c r="M290" s="15">
        <f t="shared" si="3"/>
        <v>376000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8.0" customHeight="1">
      <c r="A291" s="5" t="s">
        <v>911</v>
      </c>
      <c r="B291" s="6">
        <v>2.0</v>
      </c>
      <c r="C291" s="5" t="s">
        <v>43</v>
      </c>
      <c r="D291" s="5" t="s">
        <v>321</v>
      </c>
      <c r="E291" s="12">
        <v>46029.41287037037</v>
      </c>
      <c r="F291" s="14">
        <v>473000.0</v>
      </c>
      <c r="G291" s="14">
        <v>19000.0</v>
      </c>
      <c r="H291" s="6">
        <v>3.0</v>
      </c>
      <c r="I291" s="14">
        <v>1419000.0</v>
      </c>
      <c r="J291" s="5" t="s">
        <v>1144</v>
      </c>
      <c r="K291" s="15">
        <f t="shared" si="1"/>
        <v>0</v>
      </c>
      <c r="L291" s="15">
        <f t="shared" si="2"/>
        <v>1419000</v>
      </c>
      <c r="M291" s="15">
        <f t="shared" si="3"/>
        <v>1438000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8.0" customHeight="1">
      <c r="A292" s="5" t="s">
        <v>911</v>
      </c>
      <c r="B292" s="6">
        <v>3.0</v>
      </c>
      <c r="C292" s="5" t="s">
        <v>264</v>
      </c>
      <c r="D292" s="5" t="s">
        <v>266</v>
      </c>
      <c r="E292" s="12">
        <v>46029.41287037037</v>
      </c>
      <c r="F292" s="14">
        <v>290000.0</v>
      </c>
      <c r="G292" s="14">
        <v>15000.0</v>
      </c>
      <c r="H292" s="6">
        <v>3.0</v>
      </c>
      <c r="I292" s="14">
        <v>870000.0</v>
      </c>
      <c r="J292" s="5" t="s">
        <v>1145</v>
      </c>
      <c r="K292" s="15">
        <f t="shared" si="1"/>
        <v>0</v>
      </c>
      <c r="L292" s="15">
        <f t="shared" si="2"/>
        <v>870000</v>
      </c>
      <c r="M292" s="15">
        <f t="shared" si="3"/>
        <v>885000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8.0" customHeight="1">
      <c r="A293" s="5" t="s">
        <v>912</v>
      </c>
      <c r="B293" s="6">
        <v>1.0</v>
      </c>
      <c r="C293" s="5" t="s">
        <v>80</v>
      </c>
      <c r="D293" s="5" t="s">
        <v>81</v>
      </c>
      <c r="E293" s="12">
        <v>45862.77195601852</v>
      </c>
      <c r="F293" s="14">
        <v>420000.0</v>
      </c>
      <c r="G293" s="14">
        <v>25000.0</v>
      </c>
      <c r="H293" s="6">
        <v>1.0</v>
      </c>
      <c r="I293" s="14">
        <v>420000.0</v>
      </c>
      <c r="J293" s="5" t="s">
        <v>1146</v>
      </c>
      <c r="K293" s="15">
        <f t="shared" si="1"/>
        <v>0</v>
      </c>
      <c r="L293" s="15">
        <f t="shared" si="2"/>
        <v>420000</v>
      </c>
      <c r="M293" s="15">
        <f t="shared" si="3"/>
        <v>445000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8.0" customHeight="1">
      <c r="A294" s="5" t="s">
        <v>912</v>
      </c>
      <c r="B294" s="6">
        <v>2.0</v>
      </c>
      <c r="C294" s="5" t="s">
        <v>424</v>
      </c>
      <c r="D294" s="5" t="s">
        <v>667</v>
      </c>
      <c r="E294" s="12">
        <v>45862.77195601852</v>
      </c>
      <c r="F294" s="14">
        <v>195000.0</v>
      </c>
      <c r="G294" s="14">
        <v>6000.0</v>
      </c>
      <c r="H294" s="6">
        <v>4.0</v>
      </c>
      <c r="I294" s="14">
        <v>780000.0</v>
      </c>
      <c r="J294" s="5" t="s">
        <v>1147</v>
      </c>
      <c r="K294" s="15">
        <f t="shared" si="1"/>
        <v>0</v>
      </c>
      <c r="L294" s="15">
        <f t="shared" si="2"/>
        <v>780000</v>
      </c>
      <c r="M294" s="15">
        <f t="shared" si="3"/>
        <v>786000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8.0" customHeight="1">
      <c r="A295" s="5" t="s">
        <v>912</v>
      </c>
      <c r="B295" s="6">
        <v>3.0</v>
      </c>
      <c r="C295" s="5" t="s">
        <v>376</v>
      </c>
      <c r="D295" s="5" t="s">
        <v>800</v>
      </c>
      <c r="E295" s="12">
        <v>45862.77195601852</v>
      </c>
      <c r="F295" s="14">
        <v>160000.0</v>
      </c>
      <c r="G295" s="14">
        <v>6000.0</v>
      </c>
      <c r="H295" s="6">
        <v>3.0</v>
      </c>
      <c r="I295" s="14">
        <v>480000.0</v>
      </c>
      <c r="J295" s="5" t="s">
        <v>1148</v>
      </c>
      <c r="K295" s="15">
        <f t="shared" si="1"/>
        <v>0</v>
      </c>
      <c r="L295" s="15">
        <f t="shared" si="2"/>
        <v>480000</v>
      </c>
      <c r="M295" s="15">
        <f t="shared" si="3"/>
        <v>486000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8.0" customHeight="1">
      <c r="A296" s="5" t="s">
        <v>912</v>
      </c>
      <c r="B296" s="6">
        <v>4.0</v>
      </c>
      <c r="C296" s="5" t="s">
        <v>147</v>
      </c>
      <c r="D296" s="5" t="s">
        <v>397</v>
      </c>
      <c r="E296" s="12">
        <v>45862.77195601852</v>
      </c>
      <c r="F296" s="14">
        <v>171000.0</v>
      </c>
      <c r="G296" s="14">
        <v>9000.0</v>
      </c>
      <c r="H296" s="6">
        <v>3.0</v>
      </c>
      <c r="I296" s="14">
        <v>513000.0</v>
      </c>
      <c r="J296" s="5" t="s">
        <v>1149</v>
      </c>
      <c r="K296" s="15">
        <f t="shared" si="1"/>
        <v>0</v>
      </c>
      <c r="L296" s="15">
        <f t="shared" si="2"/>
        <v>513000</v>
      </c>
      <c r="M296" s="15">
        <f t="shared" si="3"/>
        <v>522000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8.0" customHeight="1">
      <c r="A297" s="5" t="s">
        <v>914</v>
      </c>
      <c r="B297" s="6">
        <v>1.0</v>
      </c>
      <c r="C297" s="5" t="s">
        <v>376</v>
      </c>
      <c r="D297" s="5" t="s">
        <v>800</v>
      </c>
      <c r="E297" s="12">
        <v>45906.87672453704</v>
      </c>
      <c r="F297" s="14">
        <v>160000.0</v>
      </c>
      <c r="G297" s="14">
        <v>10000.0</v>
      </c>
      <c r="H297" s="6">
        <v>2.0</v>
      </c>
      <c r="I297" s="14">
        <v>320000.0</v>
      </c>
      <c r="J297" s="5" t="s">
        <v>1150</v>
      </c>
      <c r="K297" s="15">
        <f t="shared" si="1"/>
        <v>0</v>
      </c>
      <c r="L297" s="15">
        <f t="shared" si="2"/>
        <v>320000</v>
      </c>
      <c r="M297" s="15">
        <f t="shared" si="3"/>
        <v>330000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8.0" customHeight="1">
      <c r="A298" s="5" t="s">
        <v>915</v>
      </c>
      <c r="B298" s="6">
        <v>1.0</v>
      </c>
      <c r="C298" s="5" t="s">
        <v>336</v>
      </c>
      <c r="D298" s="5" t="s">
        <v>337</v>
      </c>
      <c r="E298" s="12">
        <v>45463.806805555556</v>
      </c>
      <c r="F298" s="14">
        <v>280000.0</v>
      </c>
      <c r="G298" s="14">
        <v>8000.0</v>
      </c>
      <c r="H298" s="6">
        <v>4.0</v>
      </c>
      <c r="I298" s="14">
        <v>1120000.0</v>
      </c>
      <c r="J298" s="5" t="s">
        <v>1151</v>
      </c>
      <c r="K298" s="15">
        <f t="shared" si="1"/>
        <v>0</v>
      </c>
      <c r="L298" s="15">
        <f t="shared" si="2"/>
        <v>1120000</v>
      </c>
      <c r="M298" s="15">
        <f t="shared" si="3"/>
        <v>1128000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8.0" customHeight="1">
      <c r="A299" s="5" t="s">
        <v>915</v>
      </c>
      <c r="B299" s="6">
        <v>2.0</v>
      </c>
      <c r="C299" s="5" t="s">
        <v>507</v>
      </c>
      <c r="D299" s="5" t="s">
        <v>550</v>
      </c>
      <c r="E299" s="12">
        <v>45463.806805555556</v>
      </c>
      <c r="F299" s="14">
        <v>185000.0</v>
      </c>
      <c r="G299" s="14">
        <v>7000.0</v>
      </c>
      <c r="H299" s="6">
        <v>3.0</v>
      </c>
      <c r="I299" s="14">
        <v>555000.0</v>
      </c>
      <c r="J299" s="5" t="s">
        <v>1152</v>
      </c>
      <c r="K299" s="15">
        <f t="shared" si="1"/>
        <v>0</v>
      </c>
      <c r="L299" s="15">
        <f t="shared" si="2"/>
        <v>555000</v>
      </c>
      <c r="M299" s="15">
        <f t="shared" si="3"/>
        <v>562000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8.0" customHeight="1">
      <c r="A300" s="5" t="s">
        <v>915</v>
      </c>
      <c r="B300" s="6">
        <v>3.0</v>
      </c>
      <c r="C300" s="5" t="s">
        <v>402</v>
      </c>
      <c r="D300" s="5" t="s">
        <v>615</v>
      </c>
      <c r="E300" s="12">
        <v>45463.806805555556</v>
      </c>
      <c r="F300" s="14">
        <v>420000.0</v>
      </c>
      <c r="G300" s="14">
        <v>21000.0</v>
      </c>
      <c r="H300" s="6">
        <v>3.0</v>
      </c>
      <c r="I300" s="14">
        <v>1260000.0</v>
      </c>
      <c r="J300" s="5" t="s">
        <v>1153</v>
      </c>
      <c r="K300" s="15">
        <f t="shared" si="1"/>
        <v>0</v>
      </c>
      <c r="L300" s="15">
        <f t="shared" si="2"/>
        <v>1260000</v>
      </c>
      <c r="M300" s="15">
        <f t="shared" si="3"/>
        <v>1281000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8.0" customHeight="1">
      <c r="A301" s="5" t="s">
        <v>915</v>
      </c>
      <c r="B301" s="6">
        <v>4.0</v>
      </c>
      <c r="C301" s="5" t="s">
        <v>331</v>
      </c>
      <c r="D301" s="5" t="s">
        <v>541</v>
      </c>
      <c r="E301" s="12">
        <v>45463.806805555556</v>
      </c>
      <c r="F301" s="14">
        <v>135000.0</v>
      </c>
      <c r="G301" s="14">
        <v>8000.0</v>
      </c>
      <c r="H301" s="6">
        <v>1.0</v>
      </c>
      <c r="I301" s="14">
        <v>135000.0</v>
      </c>
      <c r="J301" s="5" t="s">
        <v>1154</v>
      </c>
      <c r="K301" s="15">
        <f t="shared" si="1"/>
        <v>0</v>
      </c>
      <c r="L301" s="15">
        <f t="shared" si="2"/>
        <v>135000</v>
      </c>
      <c r="M301" s="15">
        <f t="shared" si="3"/>
        <v>143000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8.0" customHeight="1">
      <c r="A302" s="5" t="s">
        <v>917</v>
      </c>
      <c r="B302" s="6">
        <v>1.0</v>
      </c>
      <c r="C302" s="5" t="s">
        <v>402</v>
      </c>
      <c r="D302" s="5" t="s">
        <v>615</v>
      </c>
      <c r="E302" s="12">
        <v>46142.54572916667</v>
      </c>
      <c r="F302" s="14">
        <v>399000.0</v>
      </c>
      <c r="G302" s="14">
        <v>12000.0</v>
      </c>
      <c r="H302" s="6">
        <v>3.0</v>
      </c>
      <c r="I302" s="14">
        <v>1197000.0</v>
      </c>
      <c r="J302" s="5" t="s">
        <v>1155</v>
      </c>
      <c r="K302" s="15">
        <f t="shared" si="1"/>
        <v>0</v>
      </c>
      <c r="L302" s="15">
        <f t="shared" si="2"/>
        <v>1197000</v>
      </c>
      <c r="M302" s="15">
        <f t="shared" si="3"/>
        <v>1209000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8.0" customHeight="1">
      <c r="A303" s="5" t="s">
        <v>917</v>
      </c>
      <c r="B303" s="6">
        <v>2.0</v>
      </c>
      <c r="C303" s="5" t="s">
        <v>424</v>
      </c>
      <c r="D303" s="5" t="s">
        <v>667</v>
      </c>
      <c r="E303" s="12">
        <v>46142.54572916667</v>
      </c>
      <c r="F303" s="14">
        <v>195000.0</v>
      </c>
      <c r="G303" s="14">
        <v>8000.0</v>
      </c>
      <c r="H303" s="6">
        <v>1.0</v>
      </c>
      <c r="I303" s="14">
        <v>195000.0</v>
      </c>
      <c r="J303" s="5" t="s">
        <v>1156</v>
      </c>
      <c r="K303" s="15">
        <f t="shared" si="1"/>
        <v>0</v>
      </c>
      <c r="L303" s="15">
        <f t="shared" si="2"/>
        <v>195000</v>
      </c>
      <c r="M303" s="15">
        <f t="shared" si="3"/>
        <v>203000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8.0" customHeight="1">
      <c r="A304" s="5" t="s">
        <v>917</v>
      </c>
      <c r="B304" s="6">
        <v>3.0</v>
      </c>
      <c r="C304" s="5" t="s">
        <v>496</v>
      </c>
      <c r="D304" s="5" t="s">
        <v>397</v>
      </c>
      <c r="E304" s="12">
        <v>46142.54572916667</v>
      </c>
      <c r="F304" s="14">
        <v>220000.0</v>
      </c>
      <c r="G304" s="14">
        <v>11000.0</v>
      </c>
      <c r="H304" s="6">
        <v>4.0</v>
      </c>
      <c r="I304" s="14">
        <v>880000.0</v>
      </c>
      <c r="J304" s="5" t="s">
        <v>1157</v>
      </c>
      <c r="K304" s="15">
        <f t="shared" si="1"/>
        <v>0</v>
      </c>
      <c r="L304" s="15">
        <f t="shared" si="2"/>
        <v>880000</v>
      </c>
      <c r="M304" s="15">
        <f t="shared" si="3"/>
        <v>891000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8.0" customHeight="1">
      <c r="A305" s="5" t="s">
        <v>917</v>
      </c>
      <c r="B305" s="6">
        <v>4.0</v>
      </c>
      <c r="C305" s="5" t="s">
        <v>311</v>
      </c>
      <c r="D305" s="5" t="s">
        <v>460</v>
      </c>
      <c r="E305" s="12">
        <v>46142.54572916667</v>
      </c>
      <c r="F305" s="14">
        <v>200000.0</v>
      </c>
      <c r="G305" s="14">
        <v>12000.0</v>
      </c>
      <c r="H305" s="6">
        <v>3.0</v>
      </c>
      <c r="I305" s="14">
        <v>600000.0</v>
      </c>
      <c r="J305" s="5" t="s">
        <v>1158</v>
      </c>
      <c r="K305" s="15">
        <f t="shared" si="1"/>
        <v>0</v>
      </c>
      <c r="L305" s="15">
        <f t="shared" si="2"/>
        <v>600000</v>
      </c>
      <c r="M305" s="15">
        <f t="shared" si="3"/>
        <v>612000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8.0" customHeight="1">
      <c r="A306" s="5" t="s">
        <v>918</v>
      </c>
      <c r="B306" s="6">
        <v>1.0</v>
      </c>
      <c r="C306" s="5" t="s">
        <v>80</v>
      </c>
      <c r="D306" s="5" t="s">
        <v>81</v>
      </c>
      <c r="E306" s="12">
        <v>45960.24523148148</v>
      </c>
      <c r="F306" s="14">
        <v>399000.0</v>
      </c>
      <c r="G306" s="14">
        <v>12000.0</v>
      </c>
      <c r="H306" s="6">
        <v>2.0</v>
      </c>
      <c r="I306" s="14">
        <v>798000.0</v>
      </c>
      <c r="J306" s="5" t="s">
        <v>1159</v>
      </c>
      <c r="K306" s="15">
        <f t="shared" si="1"/>
        <v>0</v>
      </c>
      <c r="L306" s="15">
        <f t="shared" si="2"/>
        <v>798000</v>
      </c>
      <c r="M306" s="15">
        <f t="shared" si="3"/>
        <v>810000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8.0" customHeight="1">
      <c r="A307" s="5" t="s">
        <v>918</v>
      </c>
      <c r="B307" s="6">
        <v>2.0</v>
      </c>
      <c r="C307" s="5" t="s">
        <v>320</v>
      </c>
      <c r="D307" s="5" t="s">
        <v>321</v>
      </c>
      <c r="E307" s="12">
        <v>45960.24523148148</v>
      </c>
      <c r="F307" s="14">
        <v>180000.0</v>
      </c>
      <c r="G307" s="14">
        <v>7000.0</v>
      </c>
      <c r="H307" s="6">
        <v>2.0</v>
      </c>
      <c r="I307" s="14">
        <v>360000.0</v>
      </c>
      <c r="J307" s="5" t="s">
        <v>1160</v>
      </c>
      <c r="K307" s="15">
        <f t="shared" si="1"/>
        <v>0</v>
      </c>
      <c r="L307" s="15">
        <f t="shared" si="2"/>
        <v>360000</v>
      </c>
      <c r="M307" s="15">
        <f t="shared" si="3"/>
        <v>367000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8.0" customHeight="1">
      <c r="A308" s="5" t="s">
        <v>918</v>
      </c>
      <c r="B308" s="6">
        <v>3.0</v>
      </c>
      <c r="C308" s="5" t="s">
        <v>507</v>
      </c>
      <c r="D308" s="5" t="s">
        <v>550</v>
      </c>
      <c r="E308" s="12">
        <v>45960.24523148148</v>
      </c>
      <c r="F308" s="14">
        <v>194000.0</v>
      </c>
      <c r="G308" s="14">
        <v>10000.0</v>
      </c>
      <c r="H308" s="6">
        <v>1.0</v>
      </c>
      <c r="I308" s="14">
        <v>194000.0</v>
      </c>
      <c r="J308" s="5" t="s">
        <v>1161</v>
      </c>
      <c r="K308" s="15">
        <f t="shared" si="1"/>
        <v>0</v>
      </c>
      <c r="L308" s="15">
        <f t="shared" si="2"/>
        <v>194000</v>
      </c>
      <c r="M308" s="15">
        <f t="shared" si="3"/>
        <v>204000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8.0" customHeight="1">
      <c r="A309" s="5" t="s">
        <v>918</v>
      </c>
      <c r="B309" s="6">
        <v>4.0</v>
      </c>
      <c r="C309" s="5" t="s">
        <v>234</v>
      </c>
      <c r="D309" s="5" t="s">
        <v>701</v>
      </c>
      <c r="E309" s="12">
        <v>45960.24523148148</v>
      </c>
      <c r="F309" s="14">
        <v>185000.0</v>
      </c>
      <c r="G309" s="14">
        <v>11000.0</v>
      </c>
      <c r="H309" s="6">
        <v>3.0</v>
      </c>
      <c r="I309" s="14">
        <v>555000.0</v>
      </c>
      <c r="J309" s="5" t="s">
        <v>1162</v>
      </c>
      <c r="K309" s="15">
        <f t="shared" si="1"/>
        <v>0</v>
      </c>
      <c r="L309" s="15">
        <f t="shared" si="2"/>
        <v>555000</v>
      </c>
      <c r="M309" s="15">
        <f t="shared" si="3"/>
        <v>566000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8.0" customHeight="1">
      <c r="A310" s="5" t="s">
        <v>920</v>
      </c>
      <c r="B310" s="6">
        <v>1.0</v>
      </c>
      <c r="C310" s="5" t="s">
        <v>177</v>
      </c>
      <c r="D310" s="5" t="s">
        <v>602</v>
      </c>
      <c r="E310" s="12">
        <v>45675.8190625</v>
      </c>
      <c r="F310" s="14">
        <v>145000.0</v>
      </c>
      <c r="G310" s="14">
        <v>4000.0</v>
      </c>
      <c r="H310" s="6">
        <v>3.0</v>
      </c>
      <c r="I310" s="14">
        <v>435000.0</v>
      </c>
      <c r="J310" s="5" t="s">
        <v>1163</v>
      </c>
      <c r="K310" s="15">
        <f t="shared" si="1"/>
        <v>0</v>
      </c>
      <c r="L310" s="15">
        <f t="shared" si="2"/>
        <v>435000</v>
      </c>
      <c r="M310" s="15">
        <f t="shared" si="3"/>
        <v>439000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8.0" customHeight="1">
      <c r="A311" s="5" t="s">
        <v>920</v>
      </c>
      <c r="B311" s="6">
        <v>2.0</v>
      </c>
      <c r="C311" s="5" t="s">
        <v>241</v>
      </c>
      <c r="D311" s="5" t="s">
        <v>243</v>
      </c>
      <c r="E311" s="12">
        <v>45675.8190625</v>
      </c>
      <c r="F311" s="14">
        <v>114000.0</v>
      </c>
      <c r="G311" s="14">
        <v>5000.0</v>
      </c>
      <c r="H311" s="6">
        <v>1.0</v>
      </c>
      <c r="I311" s="14">
        <v>114000.0</v>
      </c>
      <c r="J311" s="5" t="s">
        <v>1164</v>
      </c>
      <c r="K311" s="15">
        <f t="shared" si="1"/>
        <v>0</v>
      </c>
      <c r="L311" s="15">
        <f t="shared" si="2"/>
        <v>114000</v>
      </c>
      <c r="M311" s="15">
        <f t="shared" si="3"/>
        <v>119000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8.0" customHeight="1">
      <c r="A312" s="5" t="s">
        <v>920</v>
      </c>
      <c r="B312" s="6">
        <v>3.0</v>
      </c>
      <c r="C312" s="5" t="s">
        <v>507</v>
      </c>
      <c r="D312" s="5" t="s">
        <v>550</v>
      </c>
      <c r="E312" s="12">
        <v>45675.8190625</v>
      </c>
      <c r="F312" s="14">
        <v>176000.0</v>
      </c>
      <c r="G312" s="14">
        <v>9000.0</v>
      </c>
      <c r="H312" s="6">
        <v>2.0</v>
      </c>
      <c r="I312" s="14">
        <v>352000.0</v>
      </c>
      <c r="J312" s="5" t="s">
        <v>1165</v>
      </c>
      <c r="K312" s="15">
        <f t="shared" si="1"/>
        <v>0</v>
      </c>
      <c r="L312" s="15">
        <f t="shared" si="2"/>
        <v>352000</v>
      </c>
      <c r="M312" s="15">
        <f t="shared" si="3"/>
        <v>361000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8.0" customHeight="1">
      <c r="A313" s="5" t="s">
        <v>922</v>
      </c>
      <c r="B313" s="6">
        <v>1.0</v>
      </c>
      <c r="C313" s="5" t="s">
        <v>412</v>
      </c>
      <c r="D313" s="5" t="s">
        <v>707</v>
      </c>
      <c r="E313" s="12">
        <v>46107.49078703704</v>
      </c>
      <c r="F313" s="14">
        <v>155000.0</v>
      </c>
      <c r="G313" s="14">
        <v>9000.0</v>
      </c>
      <c r="H313" s="6">
        <v>3.0</v>
      </c>
      <c r="I313" s="14">
        <v>465000.0</v>
      </c>
      <c r="J313" s="5" t="s">
        <v>1166</v>
      </c>
      <c r="K313" s="15">
        <f t="shared" si="1"/>
        <v>0</v>
      </c>
      <c r="L313" s="15">
        <f t="shared" si="2"/>
        <v>465000</v>
      </c>
      <c r="M313" s="15">
        <f t="shared" si="3"/>
        <v>474000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8.0" customHeight="1">
      <c r="A314" s="5" t="s">
        <v>923</v>
      </c>
      <c r="B314" s="6">
        <v>1.0</v>
      </c>
      <c r="C314" s="5" t="s">
        <v>356</v>
      </c>
      <c r="D314" s="5" t="s">
        <v>478</v>
      </c>
      <c r="E314" s="12">
        <v>45349.065104166664</v>
      </c>
      <c r="F314" s="14">
        <v>145000.0</v>
      </c>
      <c r="G314" s="14">
        <v>4000.0</v>
      </c>
      <c r="H314" s="6">
        <v>3.0</v>
      </c>
      <c r="I314" s="14">
        <v>435000.0</v>
      </c>
      <c r="J314" s="5" t="s">
        <v>1167</v>
      </c>
      <c r="K314" s="15">
        <f t="shared" si="1"/>
        <v>0</v>
      </c>
      <c r="L314" s="15">
        <f t="shared" si="2"/>
        <v>435000</v>
      </c>
      <c r="M314" s="15">
        <f t="shared" si="3"/>
        <v>439000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8.0" customHeight="1">
      <c r="A315" s="5" t="s">
        <v>923</v>
      </c>
      <c r="B315" s="6">
        <v>2.0</v>
      </c>
      <c r="C315" s="5" t="s">
        <v>177</v>
      </c>
      <c r="D315" s="5" t="s">
        <v>602</v>
      </c>
      <c r="E315" s="12">
        <v>45349.065104166664</v>
      </c>
      <c r="F315" s="14">
        <v>131000.0</v>
      </c>
      <c r="G315" s="14">
        <v>5000.0</v>
      </c>
      <c r="H315" s="6">
        <v>2.0</v>
      </c>
      <c r="I315" s="14">
        <v>262000.0</v>
      </c>
      <c r="J315" s="5" t="s">
        <v>1168</v>
      </c>
      <c r="K315" s="15">
        <f t="shared" si="1"/>
        <v>0</v>
      </c>
      <c r="L315" s="15">
        <f t="shared" si="2"/>
        <v>262000</v>
      </c>
      <c r="M315" s="15">
        <f t="shared" si="3"/>
        <v>267000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8.0" customHeight="1">
      <c r="A316" s="5" t="s">
        <v>923</v>
      </c>
      <c r="B316" s="6">
        <v>3.0</v>
      </c>
      <c r="C316" s="5" t="s">
        <v>242</v>
      </c>
      <c r="D316" s="5" t="s">
        <v>690</v>
      </c>
      <c r="E316" s="12">
        <v>45349.065104166664</v>
      </c>
      <c r="F316" s="14">
        <v>560000.0</v>
      </c>
      <c r="G316" s="14">
        <v>28000.0</v>
      </c>
      <c r="H316" s="6">
        <v>4.0</v>
      </c>
      <c r="I316" s="14">
        <v>2240000.0</v>
      </c>
      <c r="J316" s="5" t="s">
        <v>1169</v>
      </c>
      <c r="K316" s="15">
        <f t="shared" si="1"/>
        <v>0</v>
      </c>
      <c r="L316" s="15">
        <f t="shared" si="2"/>
        <v>2240000</v>
      </c>
      <c r="M316" s="15">
        <f t="shared" si="3"/>
        <v>2268000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8.0" customHeight="1">
      <c r="A317" s="5" t="s">
        <v>923</v>
      </c>
      <c r="B317" s="6">
        <v>4.0</v>
      </c>
      <c r="C317" s="5" t="s">
        <v>80</v>
      </c>
      <c r="D317" s="5" t="s">
        <v>81</v>
      </c>
      <c r="E317" s="12">
        <v>45349.065104166664</v>
      </c>
      <c r="F317" s="14">
        <v>420000.0</v>
      </c>
      <c r="G317" s="14">
        <v>25000.0</v>
      </c>
      <c r="H317" s="6">
        <v>2.0</v>
      </c>
      <c r="I317" s="14">
        <v>840000.0</v>
      </c>
      <c r="J317" s="5" t="s">
        <v>1170</v>
      </c>
      <c r="K317" s="15">
        <f t="shared" si="1"/>
        <v>0</v>
      </c>
      <c r="L317" s="15">
        <f t="shared" si="2"/>
        <v>840000</v>
      </c>
      <c r="M317" s="15">
        <f t="shared" si="3"/>
        <v>865000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8.0" customHeight="1">
      <c r="A318" s="5" t="s">
        <v>925</v>
      </c>
      <c r="B318" s="6">
        <v>1.0</v>
      </c>
      <c r="C318" s="5" t="s">
        <v>122</v>
      </c>
      <c r="D318" s="5" t="s">
        <v>156</v>
      </c>
      <c r="E318" s="12">
        <v>46122.6718287037</v>
      </c>
      <c r="F318" s="14">
        <v>390000.0</v>
      </c>
      <c r="G318" s="14">
        <v>12000.0</v>
      </c>
      <c r="H318" s="6">
        <v>3.0</v>
      </c>
      <c r="I318" s="14">
        <v>1170000.0</v>
      </c>
      <c r="J318" s="5" t="s">
        <v>1171</v>
      </c>
      <c r="K318" s="15">
        <f t="shared" si="1"/>
        <v>0</v>
      </c>
      <c r="L318" s="15">
        <f t="shared" si="2"/>
        <v>1170000</v>
      </c>
      <c r="M318" s="15">
        <f t="shared" si="3"/>
        <v>1182000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8.0" customHeight="1">
      <c r="A319" s="5" t="s">
        <v>925</v>
      </c>
      <c r="B319" s="6">
        <v>2.0</v>
      </c>
      <c r="C319" s="5" t="s">
        <v>489</v>
      </c>
      <c r="D319" s="5" t="s">
        <v>445</v>
      </c>
      <c r="E319" s="12">
        <v>46122.6718287037</v>
      </c>
      <c r="F319" s="14">
        <v>86000.0</v>
      </c>
      <c r="G319" s="14">
        <v>3000.0</v>
      </c>
      <c r="H319" s="6">
        <v>3.0</v>
      </c>
      <c r="I319" s="14">
        <v>258000.0</v>
      </c>
      <c r="J319" s="5" t="s">
        <v>1172</v>
      </c>
      <c r="K319" s="15">
        <f t="shared" si="1"/>
        <v>0</v>
      </c>
      <c r="L319" s="15">
        <f t="shared" si="2"/>
        <v>258000</v>
      </c>
      <c r="M319" s="15">
        <f t="shared" si="3"/>
        <v>261000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8.0" customHeight="1">
      <c r="A320" s="5" t="s">
        <v>927</v>
      </c>
      <c r="B320" s="6">
        <v>1.0</v>
      </c>
      <c r="C320" s="5" t="s">
        <v>234</v>
      </c>
      <c r="D320" s="5" t="s">
        <v>701</v>
      </c>
      <c r="E320" s="12">
        <v>45638.22803240741</v>
      </c>
      <c r="F320" s="14">
        <v>195000.0</v>
      </c>
      <c r="G320" s="14">
        <v>10000.0</v>
      </c>
      <c r="H320" s="6">
        <v>2.0</v>
      </c>
      <c r="I320" s="14">
        <v>390000.0</v>
      </c>
      <c r="J320" s="5" t="s">
        <v>1173</v>
      </c>
      <c r="K320" s="15">
        <f t="shared" si="1"/>
        <v>0</v>
      </c>
      <c r="L320" s="15">
        <f t="shared" si="2"/>
        <v>390000</v>
      </c>
      <c r="M320" s="15">
        <f t="shared" si="3"/>
        <v>400000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8.0" customHeight="1">
      <c r="A321" s="5" t="s">
        <v>927</v>
      </c>
      <c r="B321" s="6">
        <v>2.0</v>
      </c>
      <c r="C321" s="5" t="s">
        <v>80</v>
      </c>
      <c r="D321" s="5" t="s">
        <v>81</v>
      </c>
      <c r="E321" s="12">
        <v>45638.22803240741</v>
      </c>
      <c r="F321" s="14">
        <v>420000.0</v>
      </c>
      <c r="G321" s="14">
        <v>25000.0</v>
      </c>
      <c r="H321" s="6">
        <v>2.0</v>
      </c>
      <c r="I321" s="14">
        <v>840000.0</v>
      </c>
      <c r="J321" s="5" t="s">
        <v>1174</v>
      </c>
      <c r="K321" s="15">
        <f t="shared" si="1"/>
        <v>0</v>
      </c>
      <c r="L321" s="15">
        <f t="shared" si="2"/>
        <v>840000</v>
      </c>
      <c r="M321" s="15">
        <f t="shared" si="3"/>
        <v>865000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8.0" customHeight="1">
      <c r="A322" s="5" t="s">
        <v>928</v>
      </c>
      <c r="B322" s="6">
        <v>1.0</v>
      </c>
      <c r="C322" s="5" t="s">
        <v>527</v>
      </c>
      <c r="D322" s="5" t="s">
        <v>227</v>
      </c>
      <c r="E322" s="12">
        <v>45707.08521990741</v>
      </c>
      <c r="F322" s="14">
        <v>147000.0</v>
      </c>
      <c r="G322" s="14">
        <v>4000.0</v>
      </c>
      <c r="H322" s="6">
        <v>2.0</v>
      </c>
      <c r="I322" s="14">
        <v>294000.0</v>
      </c>
      <c r="J322" s="5" t="s">
        <v>1175</v>
      </c>
      <c r="K322" s="15">
        <f t="shared" si="1"/>
        <v>0</v>
      </c>
      <c r="L322" s="15">
        <f t="shared" si="2"/>
        <v>294000</v>
      </c>
      <c r="M322" s="15">
        <f t="shared" si="3"/>
        <v>298000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8.0" customHeight="1">
      <c r="A323" s="5" t="s">
        <v>928</v>
      </c>
      <c r="B323" s="6">
        <v>2.0</v>
      </c>
      <c r="C323" s="5" t="s">
        <v>222</v>
      </c>
      <c r="D323" s="5" t="s">
        <v>414</v>
      </c>
      <c r="E323" s="12">
        <v>45707.08521990741</v>
      </c>
      <c r="F323" s="14">
        <v>285000.0</v>
      </c>
      <c r="G323" s="14">
        <v>11000.0</v>
      </c>
      <c r="H323" s="6">
        <v>3.0</v>
      </c>
      <c r="I323" s="14">
        <v>855000.0</v>
      </c>
      <c r="J323" s="5" t="s">
        <v>1176</v>
      </c>
      <c r="K323" s="15">
        <f t="shared" si="1"/>
        <v>0</v>
      </c>
      <c r="L323" s="15">
        <f t="shared" si="2"/>
        <v>855000</v>
      </c>
      <c r="M323" s="15">
        <f t="shared" si="3"/>
        <v>866000</v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8.0" customHeight="1">
      <c r="A324" s="5" t="s">
        <v>930</v>
      </c>
      <c r="B324" s="6">
        <v>1.0</v>
      </c>
      <c r="C324" s="5" t="s">
        <v>356</v>
      </c>
      <c r="D324" s="5" t="s">
        <v>478</v>
      </c>
      <c r="E324" s="12">
        <v>45548.0046875</v>
      </c>
      <c r="F324" s="14">
        <v>138000.0</v>
      </c>
      <c r="G324" s="14">
        <v>7000.0</v>
      </c>
      <c r="H324" s="6">
        <v>3.0</v>
      </c>
      <c r="I324" s="14">
        <v>414000.0</v>
      </c>
      <c r="J324" s="5" t="s">
        <v>1177</v>
      </c>
      <c r="K324" s="15">
        <f t="shared" si="1"/>
        <v>0</v>
      </c>
      <c r="L324" s="15">
        <f t="shared" si="2"/>
        <v>414000</v>
      </c>
      <c r="M324" s="15">
        <f t="shared" si="3"/>
        <v>421000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8.0" customHeight="1">
      <c r="A325" s="5" t="s">
        <v>930</v>
      </c>
      <c r="B325" s="6">
        <v>2.0</v>
      </c>
      <c r="C325" s="5" t="s">
        <v>545</v>
      </c>
      <c r="D325" s="5" t="s">
        <v>589</v>
      </c>
      <c r="E325" s="12">
        <v>45548.0046875</v>
      </c>
      <c r="F325" s="14">
        <v>260000.0</v>
      </c>
      <c r="G325" s="14">
        <v>16000.0</v>
      </c>
      <c r="H325" s="6">
        <v>1.0</v>
      </c>
      <c r="I325" s="14">
        <v>260000.0</v>
      </c>
      <c r="J325" s="5" t="s">
        <v>1178</v>
      </c>
      <c r="K325" s="15">
        <f t="shared" si="1"/>
        <v>0</v>
      </c>
      <c r="L325" s="15">
        <f t="shared" si="2"/>
        <v>260000</v>
      </c>
      <c r="M325" s="15">
        <f t="shared" si="3"/>
        <v>276000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8.0" customHeight="1">
      <c r="A326" s="5" t="s">
        <v>931</v>
      </c>
      <c r="B326" s="6">
        <v>1.0</v>
      </c>
      <c r="C326" s="5" t="s">
        <v>241</v>
      </c>
      <c r="D326" s="5" t="s">
        <v>243</v>
      </c>
      <c r="E326" s="12">
        <v>46183.634421296294</v>
      </c>
      <c r="F326" s="14">
        <v>120000.0</v>
      </c>
      <c r="G326" s="14">
        <v>4000.0</v>
      </c>
      <c r="H326" s="6">
        <v>2.0</v>
      </c>
      <c r="I326" s="14">
        <v>240000.0</v>
      </c>
      <c r="J326" s="5" t="s">
        <v>1179</v>
      </c>
      <c r="K326" s="15">
        <f t="shared" si="1"/>
        <v>0</v>
      </c>
      <c r="L326" s="15">
        <f t="shared" si="2"/>
        <v>240000</v>
      </c>
      <c r="M326" s="15">
        <f t="shared" si="3"/>
        <v>244000</v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8.0" customHeight="1">
      <c r="A327" s="5" t="s">
        <v>931</v>
      </c>
      <c r="B327" s="6">
        <v>2.0</v>
      </c>
      <c r="C327" s="5" t="s">
        <v>320</v>
      </c>
      <c r="D327" s="5" t="s">
        <v>321</v>
      </c>
      <c r="E327" s="12">
        <v>46183.634421296294</v>
      </c>
      <c r="F327" s="14">
        <v>180000.0</v>
      </c>
      <c r="G327" s="14">
        <v>7000.0</v>
      </c>
      <c r="H327" s="6">
        <v>4.0</v>
      </c>
      <c r="I327" s="14">
        <v>720000.0</v>
      </c>
      <c r="J327" s="5" t="s">
        <v>1180</v>
      </c>
      <c r="K327" s="15">
        <f t="shared" si="1"/>
        <v>0</v>
      </c>
      <c r="L327" s="15">
        <f t="shared" si="2"/>
        <v>720000</v>
      </c>
      <c r="M327" s="15">
        <f t="shared" si="3"/>
        <v>727000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8.0" customHeight="1">
      <c r="A328" s="5" t="s">
        <v>931</v>
      </c>
      <c r="B328" s="6">
        <v>3.0</v>
      </c>
      <c r="C328" s="5" t="s">
        <v>527</v>
      </c>
      <c r="D328" s="5" t="s">
        <v>227</v>
      </c>
      <c r="E328" s="12">
        <v>46183.634421296294</v>
      </c>
      <c r="F328" s="14">
        <v>163000.0</v>
      </c>
      <c r="G328" s="14">
        <v>8000.0</v>
      </c>
      <c r="H328" s="6">
        <v>3.0</v>
      </c>
      <c r="I328" s="14">
        <v>489000.0</v>
      </c>
      <c r="J328" s="5" t="s">
        <v>1181</v>
      </c>
      <c r="K328" s="15">
        <f t="shared" si="1"/>
        <v>0</v>
      </c>
      <c r="L328" s="15">
        <f t="shared" si="2"/>
        <v>489000</v>
      </c>
      <c r="M328" s="15">
        <f t="shared" si="3"/>
        <v>497000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8.0" customHeight="1">
      <c r="A329" s="5" t="s">
        <v>931</v>
      </c>
      <c r="B329" s="6">
        <v>4.0</v>
      </c>
      <c r="C329" s="5" t="s">
        <v>43</v>
      </c>
      <c r="D329" s="5" t="s">
        <v>321</v>
      </c>
      <c r="E329" s="12">
        <v>46183.634421296294</v>
      </c>
      <c r="F329" s="14">
        <v>428000.0</v>
      </c>
      <c r="G329" s="14">
        <v>26000.0</v>
      </c>
      <c r="H329" s="6">
        <v>4.0</v>
      </c>
      <c r="I329" s="14">
        <v>1712000.0</v>
      </c>
      <c r="J329" s="5" t="s">
        <v>1182</v>
      </c>
      <c r="K329" s="15">
        <f t="shared" si="1"/>
        <v>0</v>
      </c>
      <c r="L329" s="15">
        <f t="shared" si="2"/>
        <v>1712000</v>
      </c>
      <c r="M329" s="15">
        <f t="shared" si="3"/>
        <v>1738000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8.0" customHeight="1">
      <c r="A330" s="5" t="s">
        <v>933</v>
      </c>
      <c r="B330" s="6">
        <v>1.0</v>
      </c>
      <c r="C330" s="5" t="s">
        <v>210</v>
      </c>
      <c r="D330" s="5" t="s">
        <v>589</v>
      </c>
      <c r="E330" s="12">
        <v>45926.03114583333</v>
      </c>
      <c r="F330" s="14">
        <v>100000.0</v>
      </c>
      <c r="G330" s="14">
        <v>3000.0</v>
      </c>
      <c r="H330" s="6">
        <v>3.0</v>
      </c>
      <c r="I330" s="14">
        <v>300000.0</v>
      </c>
      <c r="J330" s="5" t="s">
        <v>1183</v>
      </c>
      <c r="K330" s="15">
        <f t="shared" si="1"/>
        <v>0</v>
      </c>
      <c r="L330" s="15">
        <f t="shared" si="2"/>
        <v>300000</v>
      </c>
      <c r="M330" s="15">
        <f t="shared" si="3"/>
        <v>303000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8.0" customHeight="1">
      <c r="A331" s="5" t="s">
        <v>933</v>
      </c>
      <c r="B331" s="6">
        <v>2.0</v>
      </c>
      <c r="C331" s="5" t="s">
        <v>353</v>
      </c>
      <c r="D331" s="5" t="s">
        <v>156</v>
      </c>
      <c r="E331" s="12">
        <v>45926.03114583333</v>
      </c>
      <c r="F331" s="14">
        <v>113000.0</v>
      </c>
      <c r="G331" s="14">
        <v>5000.0</v>
      </c>
      <c r="H331" s="6">
        <v>4.0</v>
      </c>
      <c r="I331" s="14">
        <v>452000.0</v>
      </c>
      <c r="J331" s="5" t="s">
        <v>1184</v>
      </c>
      <c r="K331" s="15">
        <f t="shared" si="1"/>
        <v>0</v>
      </c>
      <c r="L331" s="15">
        <f t="shared" si="2"/>
        <v>452000</v>
      </c>
      <c r="M331" s="15">
        <f t="shared" si="3"/>
        <v>457000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8.0" customHeight="1">
      <c r="A332" s="5" t="s">
        <v>933</v>
      </c>
      <c r="B332" s="6">
        <v>3.0</v>
      </c>
      <c r="C332" s="5" t="s">
        <v>80</v>
      </c>
      <c r="D332" s="5" t="s">
        <v>81</v>
      </c>
      <c r="E332" s="12">
        <v>45926.03114583333</v>
      </c>
      <c r="F332" s="14">
        <v>420000.0</v>
      </c>
      <c r="G332" s="14">
        <v>21000.0</v>
      </c>
      <c r="H332" s="6">
        <v>3.0</v>
      </c>
      <c r="I332" s="14">
        <v>1260000.0</v>
      </c>
      <c r="J332" s="5" t="s">
        <v>1185</v>
      </c>
      <c r="K332" s="15">
        <f t="shared" si="1"/>
        <v>0</v>
      </c>
      <c r="L332" s="15">
        <f t="shared" si="2"/>
        <v>1260000</v>
      </c>
      <c r="M332" s="15">
        <f t="shared" si="3"/>
        <v>1281000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8.0" customHeight="1">
      <c r="A333" s="5" t="s">
        <v>935</v>
      </c>
      <c r="B333" s="6">
        <v>1.0</v>
      </c>
      <c r="C333" s="5" t="s">
        <v>281</v>
      </c>
      <c r="D333" s="5" t="s">
        <v>729</v>
      </c>
      <c r="E333" s="12">
        <v>46165.8908912037</v>
      </c>
      <c r="F333" s="14">
        <v>230000.0</v>
      </c>
      <c r="G333" s="14">
        <v>14000.0</v>
      </c>
      <c r="H333" s="6">
        <v>4.0</v>
      </c>
      <c r="I333" s="14">
        <v>920000.0</v>
      </c>
      <c r="J333" s="5" t="s">
        <v>1186</v>
      </c>
      <c r="K333" s="15">
        <f t="shared" si="1"/>
        <v>0</v>
      </c>
      <c r="L333" s="15">
        <f t="shared" si="2"/>
        <v>920000</v>
      </c>
      <c r="M333" s="15">
        <f t="shared" si="3"/>
        <v>934000</v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8.0" customHeight="1">
      <c r="A334" s="5" t="s">
        <v>935</v>
      </c>
      <c r="B334" s="6">
        <v>2.0</v>
      </c>
      <c r="C334" s="5" t="s">
        <v>136</v>
      </c>
      <c r="D334" s="5" t="s">
        <v>445</v>
      </c>
      <c r="E334" s="12">
        <v>46165.8908912037</v>
      </c>
      <c r="F334" s="14">
        <v>751000.0</v>
      </c>
      <c r="G334" s="14">
        <v>23000.0</v>
      </c>
      <c r="H334" s="6">
        <v>2.0</v>
      </c>
      <c r="I334" s="14">
        <v>1502000.0</v>
      </c>
      <c r="J334" s="5" t="s">
        <v>1187</v>
      </c>
      <c r="K334" s="15">
        <f t="shared" si="1"/>
        <v>0</v>
      </c>
      <c r="L334" s="15">
        <f t="shared" si="2"/>
        <v>1502000</v>
      </c>
      <c r="M334" s="15">
        <f t="shared" si="3"/>
        <v>1525000</v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8.0" customHeight="1">
      <c r="A335" s="5" t="s">
        <v>935</v>
      </c>
      <c r="B335" s="6">
        <v>3.0</v>
      </c>
      <c r="C335" s="5" t="s">
        <v>177</v>
      </c>
      <c r="D335" s="5" t="s">
        <v>602</v>
      </c>
      <c r="E335" s="12">
        <v>46165.8908912037</v>
      </c>
      <c r="F335" s="14">
        <v>131000.0</v>
      </c>
      <c r="G335" s="14">
        <v>5000.0</v>
      </c>
      <c r="H335" s="6">
        <v>3.0</v>
      </c>
      <c r="I335" s="14">
        <v>393000.0</v>
      </c>
      <c r="J335" s="5" t="s">
        <v>1188</v>
      </c>
      <c r="K335" s="15">
        <f t="shared" si="1"/>
        <v>0</v>
      </c>
      <c r="L335" s="15">
        <f t="shared" si="2"/>
        <v>393000</v>
      </c>
      <c r="M335" s="15">
        <f t="shared" si="3"/>
        <v>398000</v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8.0" customHeight="1">
      <c r="A336" s="5" t="s">
        <v>936</v>
      </c>
      <c r="B336" s="6">
        <v>1.0</v>
      </c>
      <c r="C336" s="5" t="s">
        <v>402</v>
      </c>
      <c r="D336" s="5" t="s">
        <v>615</v>
      </c>
      <c r="E336" s="12">
        <v>45885.54908564815</v>
      </c>
      <c r="F336" s="14">
        <v>399000.0</v>
      </c>
      <c r="G336" s="14">
        <v>20000.0</v>
      </c>
      <c r="H336" s="6">
        <v>4.0</v>
      </c>
      <c r="I336" s="14">
        <v>1596000.0</v>
      </c>
      <c r="J336" s="5" t="s">
        <v>1189</v>
      </c>
      <c r="K336" s="15">
        <f t="shared" si="1"/>
        <v>0</v>
      </c>
      <c r="L336" s="15">
        <f t="shared" si="2"/>
        <v>1596000</v>
      </c>
      <c r="M336" s="15">
        <f t="shared" si="3"/>
        <v>1616000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8.0" customHeight="1">
      <c r="A337" s="5" t="s">
        <v>936</v>
      </c>
      <c r="B337" s="6">
        <v>2.0</v>
      </c>
      <c r="C337" s="5" t="s">
        <v>545</v>
      </c>
      <c r="D337" s="5" t="s">
        <v>589</v>
      </c>
      <c r="E337" s="12">
        <v>45885.54908564815</v>
      </c>
      <c r="F337" s="14">
        <v>234000.0</v>
      </c>
      <c r="G337" s="14">
        <v>14000.0</v>
      </c>
      <c r="H337" s="6">
        <v>2.0</v>
      </c>
      <c r="I337" s="14">
        <v>468000.0</v>
      </c>
      <c r="J337" s="5" t="s">
        <v>1190</v>
      </c>
      <c r="K337" s="15">
        <f t="shared" si="1"/>
        <v>0</v>
      </c>
      <c r="L337" s="15">
        <f t="shared" si="2"/>
        <v>468000</v>
      </c>
      <c r="M337" s="15">
        <f t="shared" si="3"/>
        <v>482000</v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8.0" customHeight="1">
      <c r="A338" s="5" t="s">
        <v>936</v>
      </c>
      <c r="B338" s="6">
        <v>3.0</v>
      </c>
      <c r="C338" s="5" t="s">
        <v>241</v>
      </c>
      <c r="D338" s="5" t="s">
        <v>243</v>
      </c>
      <c r="E338" s="12">
        <v>45885.54908564815</v>
      </c>
      <c r="F338" s="14">
        <v>120000.0</v>
      </c>
      <c r="G338" s="14">
        <v>4000.0</v>
      </c>
      <c r="H338" s="6">
        <v>3.0</v>
      </c>
      <c r="I338" s="14">
        <v>360000.0</v>
      </c>
      <c r="J338" s="5" t="s">
        <v>1191</v>
      </c>
      <c r="K338" s="15">
        <f t="shared" si="1"/>
        <v>0</v>
      </c>
      <c r="L338" s="15">
        <f t="shared" si="2"/>
        <v>360000</v>
      </c>
      <c r="M338" s="15">
        <f t="shared" si="3"/>
        <v>364000</v>
      </c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8.0" customHeight="1">
      <c r="A339" s="5" t="s">
        <v>936</v>
      </c>
      <c r="B339" s="6">
        <v>4.0</v>
      </c>
      <c r="C339" s="5" t="s">
        <v>184</v>
      </c>
      <c r="D339" s="5" t="s">
        <v>227</v>
      </c>
      <c r="E339" s="12">
        <v>45885.54908564815</v>
      </c>
      <c r="F339" s="14">
        <v>294000.0</v>
      </c>
      <c r="G339" s="14">
        <v>12000.0</v>
      </c>
      <c r="H339" s="6">
        <v>4.0</v>
      </c>
      <c r="I339" s="14">
        <v>1176000.0</v>
      </c>
      <c r="J339" s="5" t="s">
        <v>1192</v>
      </c>
      <c r="K339" s="15">
        <f t="shared" si="1"/>
        <v>0</v>
      </c>
      <c r="L339" s="15">
        <f t="shared" si="2"/>
        <v>1176000</v>
      </c>
      <c r="M339" s="15">
        <f t="shared" si="3"/>
        <v>1188000</v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8.0" customHeight="1">
      <c r="A340" s="5" t="s">
        <v>938</v>
      </c>
      <c r="B340" s="6">
        <v>1.0</v>
      </c>
      <c r="C340" s="5" t="s">
        <v>80</v>
      </c>
      <c r="D340" s="5" t="s">
        <v>81</v>
      </c>
      <c r="E340" s="12">
        <v>45343.795810185184</v>
      </c>
      <c r="F340" s="14">
        <v>420000.0</v>
      </c>
      <c r="G340" s="14">
        <v>21000.0</v>
      </c>
      <c r="H340" s="6">
        <v>1.0</v>
      </c>
      <c r="I340" s="14">
        <v>420000.0</v>
      </c>
      <c r="J340" s="5" t="s">
        <v>1193</v>
      </c>
      <c r="K340" s="15">
        <f t="shared" si="1"/>
        <v>0</v>
      </c>
      <c r="L340" s="15">
        <f t="shared" si="2"/>
        <v>420000</v>
      </c>
      <c r="M340" s="15">
        <f t="shared" si="3"/>
        <v>441000</v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8.0" customHeight="1">
      <c r="A341" s="5" t="s">
        <v>938</v>
      </c>
      <c r="B341" s="6">
        <v>2.0</v>
      </c>
      <c r="C341" s="5" t="s">
        <v>331</v>
      </c>
      <c r="D341" s="5" t="s">
        <v>541</v>
      </c>
      <c r="E341" s="12">
        <v>45343.795810185184</v>
      </c>
      <c r="F341" s="14">
        <v>122000.0</v>
      </c>
      <c r="G341" s="14">
        <v>7000.0</v>
      </c>
      <c r="H341" s="6">
        <v>2.0</v>
      </c>
      <c r="I341" s="14">
        <v>244000.0</v>
      </c>
      <c r="J341" s="5" t="s">
        <v>1194</v>
      </c>
      <c r="K341" s="15">
        <f t="shared" si="1"/>
        <v>0</v>
      </c>
      <c r="L341" s="15">
        <f t="shared" si="2"/>
        <v>244000</v>
      </c>
      <c r="M341" s="15">
        <f t="shared" si="3"/>
        <v>251000</v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8.0" customHeight="1">
      <c r="A342" s="5" t="s">
        <v>938</v>
      </c>
      <c r="B342" s="6">
        <v>3.0</v>
      </c>
      <c r="C342" s="5" t="s">
        <v>222</v>
      </c>
      <c r="D342" s="5" t="s">
        <v>414</v>
      </c>
      <c r="E342" s="12">
        <v>45343.795810185184</v>
      </c>
      <c r="F342" s="14">
        <v>285000.0</v>
      </c>
      <c r="G342" s="14">
        <v>9000.0</v>
      </c>
      <c r="H342" s="6">
        <v>2.0</v>
      </c>
      <c r="I342" s="14">
        <v>570000.0</v>
      </c>
      <c r="J342" s="5" t="s">
        <v>1195</v>
      </c>
      <c r="K342" s="15">
        <f t="shared" si="1"/>
        <v>0</v>
      </c>
      <c r="L342" s="15">
        <f t="shared" si="2"/>
        <v>570000</v>
      </c>
      <c r="M342" s="15">
        <f t="shared" si="3"/>
        <v>579000</v>
      </c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8.0" customHeight="1">
      <c r="A343" s="5" t="s">
        <v>938</v>
      </c>
      <c r="B343" s="6">
        <v>4.0</v>
      </c>
      <c r="C343" s="5" t="s">
        <v>184</v>
      </c>
      <c r="D343" s="5" t="s">
        <v>227</v>
      </c>
      <c r="E343" s="12">
        <v>45343.795810185184</v>
      </c>
      <c r="F343" s="14">
        <v>280000.0</v>
      </c>
      <c r="G343" s="14">
        <v>11000.0</v>
      </c>
      <c r="H343" s="6">
        <v>3.0</v>
      </c>
      <c r="I343" s="14">
        <v>840000.0</v>
      </c>
      <c r="J343" s="5" t="s">
        <v>1196</v>
      </c>
      <c r="K343" s="15">
        <f t="shared" si="1"/>
        <v>0</v>
      </c>
      <c r="L343" s="15">
        <f t="shared" si="2"/>
        <v>840000</v>
      </c>
      <c r="M343" s="15">
        <f t="shared" si="3"/>
        <v>851000</v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8.0" customHeight="1">
      <c r="A344" s="5" t="s">
        <v>940</v>
      </c>
      <c r="B344" s="6">
        <v>1.0</v>
      </c>
      <c r="C344" s="5" t="s">
        <v>147</v>
      </c>
      <c r="D344" s="5" t="s">
        <v>397</v>
      </c>
      <c r="E344" s="12">
        <v>45922.557291666664</v>
      </c>
      <c r="F344" s="14">
        <v>171000.0</v>
      </c>
      <c r="G344" s="14">
        <v>9000.0</v>
      </c>
      <c r="H344" s="6">
        <v>1.0</v>
      </c>
      <c r="I344" s="14">
        <v>171000.0</v>
      </c>
      <c r="J344" s="5" t="s">
        <v>1197</v>
      </c>
      <c r="K344" s="15">
        <f t="shared" si="1"/>
        <v>0</v>
      </c>
      <c r="L344" s="15">
        <f t="shared" si="2"/>
        <v>171000</v>
      </c>
      <c r="M344" s="15">
        <f t="shared" si="3"/>
        <v>180000</v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8.0" customHeight="1">
      <c r="A345" s="5" t="s">
        <v>940</v>
      </c>
      <c r="B345" s="6">
        <v>2.0</v>
      </c>
      <c r="C345" s="5" t="s">
        <v>283</v>
      </c>
      <c r="D345" s="5" t="s">
        <v>286</v>
      </c>
      <c r="E345" s="12">
        <v>45922.557291666664</v>
      </c>
      <c r="F345" s="14">
        <v>81000.0</v>
      </c>
      <c r="G345" s="14">
        <v>5000.0</v>
      </c>
      <c r="H345" s="6">
        <v>1.0</v>
      </c>
      <c r="I345" s="14">
        <v>81000.0</v>
      </c>
      <c r="J345" s="5" t="s">
        <v>1198</v>
      </c>
      <c r="K345" s="15">
        <f t="shared" si="1"/>
        <v>0</v>
      </c>
      <c r="L345" s="15">
        <f t="shared" si="2"/>
        <v>81000</v>
      </c>
      <c r="M345" s="15">
        <f t="shared" si="3"/>
        <v>86000</v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8.0" customHeight="1">
      <c r="A346" s="5" t="s">
        <v>941</v>
      </c>
      <c r="B346" s="6">
        <v>1.0</v>
      </c>
      <c r="C346" s="5" t="s">
        <v>527</v>
      </c>
      <c r="D346" s="5" t="s">
        <v>227</v>
      </c>
      <c r="E346" s="12">
        <v>46219.67259259259</v>
      </c>
      <c r="F346" s="14">
        <v>155000.0</v>
      </c>
      <c r="G346" s="14">
        <v>5000.0</v>
      </c>
      <c r="H346" s="6">
        <v>3.0</v>
      </c>
      <c r="I346" s="14">
        <v>465000.0</v>
      </c>
      <c r="J346" s="5" t="s">
        <v>1199</v>
      </c>
      <c r="K346" s="15">
        <f t="shared" si="1"/>
        <v>0</v>
      </c>
      <c r="L346" s="15">
        <f t="shared" si="2"/>
        <v>465000</v>
      </c>
      <c r="M346" s="15">
        <f t="shared" si="3"/>
        <v>470000</v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8.0" customHeight="1">
      <c r="A347" s="5" t="s">
        <v>941</v>
      </c>
      <c r="B347" s="6">
        <v>2.0</v>
      </c>
      <c r="C347" s="5" t="s">
        <v>163</v>
      </c>
      <c r="D347" s="5" t="s">
        <v>550</v>
      </c>
      <c r="E347" s="12">
        <v>46219.67259259259</v>
      </c>
      <c r="F347" s="14">
        <v>320000.0</v>
      </c>
      <c r="G347" s="14">
        <v>13000.0</v>
      </c>
      <c r="H347" s="6">
        <v>2.0</v>
      </c>
      <c r="I347" s="14">
        <v>640000.0</v>
      </c>
      <c r="J347" s="5" t="s">
        <v>1200</v>
      </c>
      <c r="K347" s="15">
        <f t="shared" si="1"/>
        <v>0</v>
      </c>
      <c r="L347" s="15">
        <f t="shared" si="2"/>
        <v>640000</v>
      </c>
      <c r="M347" s="15">
        <f t="shared" si="3"/>
        <v>653000</v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8.0" customHeight="1">
      <c r="A348" s="5" t="s">
        <v>941</v>
      </c>
      <c r="B348" s="6">
        <v>3.0</v>
      </c>
      <c r="C348" s="5" t="s">
        <v>112</v>
      </c>
      <c r="D348" s="5" t="s">
        <v>304</v>
      </c>
      <c r="E348" s="12">
        <v>46219.67259259259</v>
      </c>
      <c r="F348" s="14">
        <v>209000.0</v>
      </c>
      <c r="G348" s="14">
        <v>10000.0</v>
      </c>
      <c r="H348" s="6">
        <v>2.0</v>
      </c>
      <c r="I348" s="14">
        <v>418000.0</v>
      </c>
      <c r="J348" s="5" t="s">
        <v>1201</v>
      </c>
      <c r="K348" s="15">
        <f t="shared" si="1"/>
        <v>0</v>
      </c>
      <c r="L348" s="15">
        <f t="shared" si="2"/>
        <v>418000</v>
      </c>
      <c r="M348" s="15">
        <f t="shared" si="3"/>
        <v>428000</v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8.0" customHeight="1">
      <c r="A349" s="5" t="s">
        <v>941</v>
      </c>
      <c r="B349" s="6">
        <v>4.0</v>
      </c>
      <c r="C349" s="5" t="s">
        <v>264</v>
      </c>
      <c r="D349" s="5" t="s">
        <v>266</v>
      </c>
      <c r="E349" s="12">
        <v>46219.67259259259</v>
      </c>
      <c r="F349" s="14">
        <v>290000.0</v>
      </c>
      <c r="G349" s="14">
        <v>17000.0</v>
      </c>
      <c r="H349" s="6">
        <v>3.0</v>
      </c>
      <c r="I349" s="14">
        <v>870000.0</v>
      </c>
      <c r="J349" s="5" t="s">
        <v>1202</v>
      </c>
      <c r="K349" s="15">
        <f t="shared" si="1"/>
        <v>0</v>
      </c>
      <c r="L349" s="15">
        <f t="shared" si="2"/>
        <v>870000</v>
      </c>
      <c r="M349" s="15">
        <f t="shared" si="3"/>
        <v>887000</v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8.0" customHeight="1">
      <c r="A350" s="5" t="s">
        <v>943</v>
      </c>
      <c r="B350" s="6">
        <v>1.0</v>
      </c>
      <c r="C350" s="5" t="s">
        <v>281</v>
      </c>
      <c r="D350" s="5" t="s">
        <v>729</v>
      </c>
      <c r="E350" s="12">
        <v>46147.183969907404</v>
      </c>
      <c r="F350" s="14">
        <v>230000.0</v>
      </c>
      <c r="G350" s="14">
        <v>7000.0</v>
      </c>
      <c r="H350" s="6">
        <v>1.0</v>
      </c>
      <c r="I350" s="14">
        <v>230000.0</v>
      </c>
      <c r="J350" s="5" t="s">
        <v>1203</v>
      </c>
      <c r="K350" s="15">
        <f t="shared" si="1"/>
        <v>0</v>
      </c>
      <c r="L350" s="15">
        <f t="shared" si="2"/>
        <v>230000</v>
      </c>
      <c r="M350" s="15">
        <f t="shared" si="3"/>
        <v>237000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8.0" customHeight="1">
      <c r="A351" s="5" t="s">
        <v>943</v>
      </c>
      <c r="B351" s="6">
        <v>2.0</v>
      </c>
      <c r="C351" s="5" t="s">
        <v>175</v>
      </c>
      <c r="D351" s="5" t="s">
        <v>178</v>
      </c>
      <c r="E351" s="12">
        <v>46147.183969907404</v>
      </c>
      <c r="F351" s="14">
        <v>135000.0</v>
      </c>
      <c r="G351" s="14">
        <v>5000.0</v>
      </c>
      <c r="H351" s="6">
        <v>4.0</v>
      </c>
      <c r="I351" s="14">
        <v>540000.0</v>
      </c>
      <c r="J351" s="5" t="s">
        <v>1204</v>
      </c>
      <c r="K351" s="15">
        <f t="shared" si="1"/>
        <v>0</v>
      </c>
      <c r="L351" s="15">
        <f t="shared" si="2"/>
        <v>540000</v>
      </c>
      <c r="M351" s="15">
        <f t="shared" si="3"/>
        <v>545000</v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8.0" customHeight="1">
      <c r="A352" s="5" t="s">
        <v>944</v>
      </c>
      <c r="B352" s="6">
        <v>1.0</v>
      </c>
      <c r="C352" s="5" t="s">
        <v>257</v>
      </c>
      <c r="D352" s="5" t="s">
        <v>715</v>
      </c>
      <c r="E352" s="12">
        <v>45808.32770833333</v>
      </c>
      <c r="F352" s="14">
        <v>250000.0</v>
      </c>
      <c r="G352" s="14">
        <v>13000.0</v>
      </c>
      <c r="H352" s="6">
        <v>4.0</v>
      </c>
      <c r="I352" s="14">
        <v>1000000.0</v>
      </c>
      <c r="J352" s="5" t="s">
        <v>1205</v>
      </c>
      <c r="K352" s="15">
        <f t="shared" si="1"/>
        <v>0</v>
      </c>
      <c r="L352" s="15">
        <f t="shared" si="2"/>
        <v>1000000</v>
      </c>
      <c r="M352" s="15">
        <f t="shared" si="3"/>
        <v>1013000</v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8.0" customHeight="1">
      <c r="A353" s="5" t="s">
        <v>944</v>
      </c>
      <c r="B353" s="6">
        <v>2.0</v>
      </c>
      <c r="C353" s="5" t="s">
        <v>189</v>
      </c>
      <c r="D353" s="5" t="s">
        <v>191</v>
      </c>
      <c r="E353" s="12">
        <v>45808.32770833333</v>
      </c>
      <c r="F353" s="14">
        <v>368000.0</v>
      </c>
      <c r="G353" s="14">
        <v>22000.0</v>
      </c>
      <c r="H353" s="6">
        <v>4.0</v>
      </c>
      <c r="I353" s="14">
        <v>1472000.0</v>
      </c>
      <c r="J353" s="5" t="s">
        <v>1206</v>
      </c>
      <c r="K353" s="15">
        <f t="shared" si="1"/>
        <v>0</v>
      </c>
      <c r="L353" s="15">
        <f t="shared" si="2"/>
        <v>1472000</v>
      </c>
      <c r="M353" s="15">
        <f t="shared" si="3"/>
        <v>1494000</v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8.0" customHeight="1">
      <c r="A354" s="5" t="s">
        <v>944</v>
      </c>
      <c r="B354" s="6">
        <v>3.0</v>
      </c>
      <c r="C354" s="5" t="s">
        <v>331</v>
      </c>
      <c r="D354" s="5" t="s">
        <v>541</v>
      </c>
      <c r="E354" s="12">
        <v>45808.32770833333</v>
      </c>
      <c r="F354" s="14">
        <v>128000.0</v>
      </c>
      <c r="G354" s="14">
        <v>4000.0</v>
      </c>
      <c r="H354" s="6">
        <v>1.0</v>
      </c>
      <c r="I354" s="14">
        <v>128000.0</v>
      </c>
      <c r="J354" s="5" t="s">
        <v>1207</v>
      </c>
      <c r="K354" s="15">
        <f t="shared" si="1"/>
        <v>0</v>
      </c>
      <c r="L354" s="15">
        <f t="shared" si="2"/>
        <v>128000</v>
      </c>
      <c r="M354" s="15">
        <f t="shared" si="3"/>
        <v>132000</v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8.0" customHeight="1">
      <c r="A355" s="5" t="s">
        <v>945</v>
      </c>
      <c r="B355" s="6">
        <v>1.0</v>
      </c>
      <c r="C355" s="5" t="s">
        <v>311</v>
      </c>
      <c r="D355" s="5" t="s">
        <v>460</v>
      </c>
      <c r="E355" s="12">
        <v>46068.58729166666</v>
      </c>
      <c r="F355" s="14">
        <v>210000.0</v>
      </c>
      <c r="G355" s="14">
        <v>8000.0</v>
      </c>
      <c r="H355" s="6">
        <v>4.0</v>
      </c>
      <c r="I355" s="14">
        <v>840000.0</v>
      </c>
      <c r="J355" s="5" t="s">
        <v>1208</v>
      </c>
      <c r="K355" s="15">
        <f t="shared" si="1"/>
        <v>0</v>
      </c>
      <c r="L355" s="15">
        <f t="shared" si="2"/>
        <v>840000</v>
      </c>
      <c r="M355" s="15">
        <f t="shared" si="3"/>
        <v>848000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8.0" customHeight="1">
      <c r="A356" s="5" t="s">
        <v>947</v>
      </c>
      <c r="B356" s="6">
        <v>1.0</v>
      </c>
      <c r="C356" s="5" t="s">
        <v>175</v>
      </c>
      <c r="D356" s="5" t="s">
        <v>178</v>
      </c>
      <c r="E356" s="12">
        <v>45497.56524305556</v>
      </c>
      <c r="F356" s="14">
        <v>135000.0</v>
      </c>
      <c r="G356" s="14">
        <v>7000.0</v>
      </c>
      <c r="H356" s="6">
        <v>3.0</v>
      </c>
      <c r="I356" s="14">
        <v>405000.0</v>
      </c>
      <c r="J356" s="5" t="s">
        <v>1209</v>
      </c>
      <c r="K356" s="15">
        <f t="shared" si="1"/>
        <v>0</v>
      </c>
      <c r="L356" s="15">
        <f t="shared" si="2"/>
        <v>405000</v>
      </c>
      <c r="M356" s="15">
        <f t="shared" si="3"/>
        <v>412000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8.0" customHeight="1">
      <c r="A357" s="5" t="s">
        <v>949</v>
      </c>
      <c r="B357" s="6">
        <v>1.0</v>
      </c>
      <c r="C357" s="5" t="s">
        <v>296</v>
      </c>
      <c r="D357" s="5" t="s">
        <v>879</v>
      </c>
      <c r="E357" s="12">
        <v>45596.91079861111</v>
      </c>
      <c r="F357" s="14">
        <v>162000.0</v>
      </c>
      <c r="G357" s="14">
        <v>10000.0</v>
      </c>
      <c r="H357" s="6">
        <v>2.0</v>
      </c>
      <c r="I357" s="14">
        <v>324000.0</v>
      </c>
      <c r="J357" s="5" t="s">
        <v>1210</v>
      </c>
      <c r="K357" s="15">
        <f t="shared" si="1"/>
        <v>0</v>
      </c>
      <c r="L357" s="15">
        <f t="shared" si="2"/>
        <v>324000</v>
      </c>
      <c r="M357" s="15">
        <f t="shared" si="3"/>
        <v>334000</v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8.0" customHeight="1">
      <c r="A358" s="5" t="s">
        <v>949</v>
      </c>
      <c r="B358" s="6">
        <v>2.0</v>
      </c>
      <c r="C358" s="5" t="s">
        <v>184</v>
      </c>
      <c r="D358" s="5" t="s">
        <v>227</v>
      </c>
      <c r="E358" s="12">
        <v>45596.91079861111</v>
      </c>
      <c r="F358" s="14">
        <v>280000.0</v>
      </c>
      <c r="G358" s="14">
        <v>8000.0</v>
      </c>
      <c r="H358" s="6">
        <v>2.0</v>
      </c>
      <c r="I358" s="14">
        <v>560000.0</v>
      </c>
      <c r="J358" s="5" t="s">
        <v>1211</v>
      </c>
      <c r="K358" s="15">
        <f t="shared" si="1"/>
        <v>0</v>
      </c>
      <c r="L358" s="15">
        <f t="shared" si="2"/>
        <v>560000</v>
      </c>
      <c r="M358" s="15">
        <f t="shared" si="3"/>
        <v>568000</v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8.0" customHeight="1">
      <c r="A359" s="5" t="s">
        <v>949</v>
      </c>
      <c r="B359" s="6">
        <v>3.0</v>
      </c>
      <c r="C359" s="5" t="s">
        <v>147</v>
      </c>
      <c r="D359" s="5" t="s">
        <v>397</v>
      </c>
      <c r="E359" s="12">
        <v>45596.91079861111</v>
      </c>
      <c r="F359" s="14">
        <v>180000.0</v>
      </c>
      <c r="G359" s="14">
        <v>7000.0</v>
      </c>
      <c r="H359" s="6">
        <v>1.0</v>
      </c>
      <c r="I359" s="14">
        <v>180000.0</v>
      </c>
      <c r="J359" s="5" t="s">
        <v>1212</v>
      </c>
      <c r="K359" s="15">
        <f t="shared" si="1"/>
        <v>0</v>
      </c>
      <c r="L359" s="15">
        <f t="shared" si="2"/>
        <v>180000</v>
      </c>
      <c r="M359" s="15">
        <f t="shared" si="3"/>
        <v>187000</v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8.0" customHeight="1">
      <c r="A360" s="5" t="s">
        <v>950</v>
      </c>
      <c r="B360" s="6">
        <v>1.0</v>
      </c>
      <c r="C360" s="5" t="s">
        <v>242</v>
      </c>
      <c r="D360" s="5" t="s">
        <v>690</v>
      </c>
      <c r="E360" s="12">
        <v>45587.19446759259</v>
      </c>
      <c r="F360" s="14">
        <v>588000.0</v>
      </c>
      <c r="G360" s="14">
        <v>29000.0</v>
      </c>
      <c r="H360" s="6">
        <v>1.0</v>
      </c>
      <c r="I360" s="14">
        <v>588000.0</v>
      </c>
      <c r="J360" s="5" t="s">
        <v>1213</v>
      </c>
      <c r="K360" s="15">
        <f t="shared" si="1"/>
        <v>0</v>
      </c>
      <c r="L360" s="15">
        <f t="shared" si="2"/>
        <v>588000</v>
      </c>
      <c r="M360" s="15">
        <f t="shared" si="3"/>
        <v>617000</v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8.0" customHeight="1">
      <c r="A361" s="5" t="s">
        <v>952</v>
      </c>
      <c r="B361" s="6">
        <v>1.0</v>
      </c>
      <c r="C361" s="5" t="s">
        <v>241</v>
      </c>
      <c r="D361" s="5" t="s">
        <v>243</v>
      </c>
      <c r="E361" s="12">
        <v>45331.091782407406</v>
      </c>
      <c r="F361" s="14">
        <v>108000.0</v>
      </c>
      <c r="G361" s="14">
        <v>6000.0</v>
      </c>
      <c r="H361" s="6">
        <v>3.0</v>
      </c>
      <c r="I361" s="14">
        <v>324000.0</v>
      </c>
      <c r="J361" s="5" t="s">
        <v>1214</v>
      </c>
      <c r="K361" s="15">
        <f t="shared" si="1"/>
        <v>0</v>
      </c>
      <c r="L361" s="15">
        <f t="shared" si="2"/>
        <v>324000</v>
      </c>
      <c r="M361" s="15">
        <f t="shared" si="3"/>
        <v>330000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8.0" customHeight="1">
      <c r="A362" s="5" t="s">
        <v>952</v>
      </c>
      <c r="B362" s="6">
        <v>2.0</v>
      </c>
      <c r="C362" s="5" t="s">
        <v>210</v>
      </c>
      <c r="D362" s="5" t="s">
        <v>589</v>
      </c>
      <c r="E362" s="12">
        <v>45331.091782407406</v>
      </c>
      <c r="F362" s="14">
        <v>90000.0</v>
      </c>
      <c r="G362" s="14">
        <v>3000.0</v>
      </c>
      <c r="H362" s="6">
        <v>3.0</v>
      </c>
      <c r="I362" s="14">
        <v>270000.0</v>
      </c>
      <c r="J362" s="5" t="s">
        <v>1215</v>
      </c>
      <c r="K362" s="15">
        <f t="shared" si="1"/>
        <v>0</v>
      </c>
      <c r="L362" s="15">
        <f t="shared" si="2"/>
        <v>270000</v>
      </c>
      <c r="M362" s="15">
        <f t="shared" si="3"/>
        <v>273000</v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8.0" customHeight="1">
      <c r="A363" s="5" t="s">
        <v>952</v>
      </c>
      <c r="B363" s="6">
        <v>3.0</v>
      </c>
      <c r="C363" s="5" t="s">
        <v>517</v>
      </c>
      <c r="D363" s="5" t="s">
        <v>602</v>
      </c>
      <c r="E363" s="12">
        <v>45331.091782407406</v>
      </c>
      <c r="F363" s="14">
        <v>120000.0</v>
      </c>
      <c r="G363" s="14">
        <v>5000.0</v>
      </c>
      <c r="H363" s="6">
        <v>1.0</v>
      </c>
      <c r="I363" s="14">
        <v>120000.0</v>
      </c>
      <c r="J363" s="5" t="s">
        <v>1216</v>
      </c>
      <c r="K363" s="15">
        <f t="shared" si="1"/>
        <v>0</v>
      </c>
      <c r="L363" s="15">
        <f t="shared" si="2"/>
        <v>120000</v>
      </c>
      <c r="M363" s="15">
        <f t="shared" si="3"/>
        <v>125000</v>
      </c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8.0" customHeight="1">
      <c r="A364" s="5" t="s">
        <v>952</v>
      </c>
      <c r="B364" s="6">
        <v>4.0</v>
      </c>
      <c r="C364" s="5" t="s">
        <v>163</v>
      </c>
      <c r="D364" s="5" t="s">
        <v>550</v>
      </c>
      <c r="E364" s="12">
        <v>45331.091782407406</v>
      </c>
      <c r="F364" s="14">
        <v>320000.0</v>
      </c>
      <c r="G364" s="14">
        <v>16000.0</v>
      </c>
      <c r="H364" s="6">
        <v>1.0</v>
      </c>
      <c r="I364" s="14">
        <v>320000.0</v>
      </c>
      <c r="J364" s="5" t="s">
        <v>1217</v>
      </c>
      <c r="K364" s="15">
        <f t="shared" si="1"/>
        <v>0</v>
      </c>
      <c r="L364" s="15">
        <f t="shared" si="2"/>
        <v>320000</v>
      </c>
      <c r="M364" s="15">
        <f t="shared" si="3"/>
        <v>336000</v>
      </c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8.0" customHeight="1">
      <c r="A365" s="5" t="s">
        <v>954</v>
      </c>
      <c r="B365" s="6">
        <v>1.0</v>
      </c>
      <c r="C365" s="5" t="s">
        <v>198</v>
      </c>
      <c r="D365" s="5" t="s">
        <v>178</v>
      </c>
      <c r="E365" s="12">
        <v>45861.74550925926</v>
      </c>
      <c r="F365" s="14">
        <v>149000.0</v>
      </c>
      <c r="G365" s="14">
        <v>9000.0</v>
      </c>
      <c r="H365" s="6">
        <v>1.0</v>
      </c>
      <c r="I365" s="14">
        <v>149000.0</v>
      </c>
      <c r="J365" s="5" t="s">
        <v>1218</v>
      </c>
      <c r="K365" s="15">
        <f t="shared" si="1"/>
        <v>0</v>
      </c>
      <c r="L365" s="15">
        <f t="shared" si="2"/>
        <v>149000</v>
      </c>
      <c r="M365" s="15">
        <f t="shared" si="3"/>
        <v>158000</v>
      </c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8.0" customHeight="1">
      <c r="A366" s="5" t="s">
        <v>955</v>
      </c>
      <c r="B366" s="6">
        <v>1.0</v>
      </c>
      <c r="C366" s="5" t="s">
        <v>353</v>
      </c>
      <c r="D366" s="5" t="s">
        <v>156</v>
      </c>
      <c r="E366" s="12">
        <v>46180.142280092594</v>
      </c>
      <c r="F366" s="14">
        <v>125000.0</v>
      </c>
      <c r="G366" s="14">
        <v>4000.0</v>
      </c>
      <c r="H366" s="6">
        <v>3.0</v>
      </c>
      <c r="I366" s="14">
        <v>375000.0</v>
      </c>
      <c r="J366" s="5" t="s">
        <v>1219</v>
      </c>
      <c r="K366" s="15">
        <f t="shared" si="1"/>
        <v>0</v>
      </c>
      <c r="L366" s="15">
        <f t="shared" si="2"/>
        <v>375000</v>
      </c>
      <c r="M366" s="15">
        <f t="shared" si="3"/>
        <v>379000</v>
      </c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8.0" customHeight="1">
      <c r="A367" s="5" t="s">
        <v>957</v>
      </c>
      <c r="B367" s="6">
        <v>1.0</v>
      </c>
      <c r="C367" s="5" t="s">
        <v>311</v>
      </c>
      <c r="D367" s="5" t="s">
        <v>460</v>
      </c>
      <c r="E367" s="12">
        <v>46156.607627314814</v>
      </c>
      <c r="F367" s="14">
        <v>200000.0</v>
      </c>
      <c r="G367" s="14">
        <v>8000.0</v>
      </c>
      <c r="H367" s="6">
        <v>3.0</v>
      </c>
      <c r="I367" s="14">
        <v>600000.0</v>
      </c>
      <c r="J367" s="5" t="s">
        <v>1220</v>
      </c>
      <c r="K367" s="15">
        <f t="shared" si="1"/>
        <v>0</v>
      </c>
      <c r="L367" s="15">
        <f t="shared" si="2"/>
        <v>600000</v>
      </c>
      <c r="M367" s="15">
        <f t="shared" si="3"/>
        <v>608000</v>
      </c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8.0" customHeight="1">
      <c r="A368" s="5" t="s">
        <v>957</v>
      </c>
      <c r="B368" s="6">
        <v>2.0</v>
      </c>
      <c r="C368" s="5" t="s">
        <v>545</v>
      </c>
      <c r="D368" s="5" t="s">
        <v>589</v>
      </c>
      <c r="E368" s="12">
        <v>46156.607627314814</v>
      </c>
      <c r="F368" s="14">
        <v>273000.0</v>
      </c>
      <c r="G368" s="14">
        <v>14000.0</v>
      </c>
      <c r="H368" s="6">
        <v>3.0</v>
      </c>
      <c r="I368" s="14">
        <v>819000.0</v>
      </c>
      <c r="J368" s="5" t="s">
        <v>1221</v>
      </c>
      <c r="K368" s="15">
        <f t="shared" si="1"/>
        <v>0</v>
      </c>
      <c r="L368" s="15">
        <f t="shared" si="2"/>
        <v>819000</v>
      </c>
      <c r="M368" s="15">
        <f t="shared" si="3"/>
        <v>833000</v>
      </c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8.0" customHeight="1">
      <c r="A369" s="5" t="s">
        <v>957</v>
      </c>
      <c r="B369" s="6">
        <v>3.0</v>
      </c>
      <c r="C369" s="5" t="s">
        <v>257</v>
      </c>
      <c r="D369" s="5" t="s">
        <v>715</v>
      </c>
      <c r="E369" s="12">
        <v>46156.607627314814</v>
      </c>
      <c r="F369" s="14">
        <v>250000.0</v>
      </c>
      <c r="G369" s="14">
        <v>15000.0</v>
      </c>
      <c r="H369" s="6">
        <v>1.0</v>
      </c>
      <c r="I369" s="14">
        <v>250000.0</v>
      </c>
      <c r="J369" s="5" t="s">
        <v>1222</v>
      </c>
      <c r="K369" s="15">
        <f t="shared" si="1"/>
        <v>0</v>
      </c>
      <c r="L369" s="15">
        <f t="shared" si="2"/>
        <v>250000</v>
      </c>
      <c r="M369" s="15">
        <f t="shared" si="3"/>
        <v>265000</v>
      </c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8.0" customHeight="1">
      <c r="A370" s="5" t="s">
        <v>957</v>
      </c>
      <c r="B370" s="6">
        <v>4.0</v>
      </c>
      <c r="C370" s="5" t="s">
        <v>264</v>
      </c>
      <c r="D370" s="5" t="s">
        <v>266</v>
      </c>
      <c r="E370" s="12">
        <v>46156.607627314814</v>
      </c>
      <c r="F370" s="14">
        <v>290000.0</v>
      </c>
      <c r="G370" s="14">
        <v>9000.0</v>
      </c>
      <c r="H370" s="6">
        <v>3.0</v>
      </c>
      <c r="I370" s="14">
        <v>870000.0</v>
      </c>
      <c r="J370" s="5" t="s">
        <v>1223</v>
      </c>
      <c r="K370" s="15">
        <f t="shared" si="1"/>
        <v>0</v>
      </c>
      <c r="L370" s="15">
        <f t="shared" si="2"/>
        <v>870000</v>
      </c>
      <c r="M370" s="15">
        <f t="shared" si="3"/>
        <v>879000</v>
      </c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8.0" customHeight="1">
      <c r="A371" s="5" t="s">
        <v>958</v>
      </c>
      <c r="B371" s="6">
        <v>1.0</v>
      </c>
      <c r="C371" s="5" t="s">
        <v>517</v>
      </c>
      <c r="D371" s="5" t="s">
        <v>602</v>
      </c>
      <c r="E371" s="12">
        <v>46138.319548611114</v>
      </c>
      <c r="F371" s="14">
        <v>120000.0</v>
      </c>
      <c r="G371" s="14">
        <v>5000.0</v>
      </c>
      <c r="H371" s="6">
        <v>3.0</v>
      </c>
      <c r="I371" s="14">
        <v>360000.0</v>
      </c>
      <c r="J371" s="5" t="s">
        <v>1224</v>
      </c>
      <c r="K371" s="15">
        <f t="shared" si="1"/>
        <v>0</v>
      </c>
      <c r="L371" s="15">
        <f t="shared" si="2"/>
        <v>360000</v>
      </c>
      <c r="M371" s="15">
        <f t="shared" si="3"/>
        <v>365000</v>
      </c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8.0" customHeight="1">
      <c r="A372" s="5" t="s">
        <v>958</v>
      </c>
      <c r="B372" s="6">
        <v>2.0</v>
      </c>
      <c r="C372" s="5" t="s">
        <v>281</v>
      </c>
      <c r="D372" s="5" t="s">
        <v>729</v>
      </c>
      <c r="E372" s="12">
        <v>46138.319548611114</v>
      </c>
      <c r="F372" s="14">
        <v>219000.0</v>
      </c>
      <c r="G372" s="14">
        <v>11000.0</v>
      </c>
      <c r="H372" s="6">
        <v>2.0</v>
      </c>
      <c r="I372" s="14">
        <v>438000.0</v>
      </c>
      <c r="J372" s="5" t="s">
        <v>1225</v>
      </c>
      <c r="K372" s="15">
        <f t="shared" si="1"/>
        <v>0</v>
      </c>
      <c r="L372" s="15">
        <f t="shared" si="2"/>
        <v>438000</v>
      </c>
      <c r="M372" s="15">
        <f t="shared" si="3"/>
        <v>449000</v>
      </c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8.0" customHeight="1">
      <c r="A373" s="5" t="s">
        <v>958</v>
      </c>
      <c r="B373" s="6">
        <v>3.0</v>
      </c>
      <c r="C373" s="5" t="s">
        <v>184</v>
      </c>
      <c r="D373" s="5" t="s">
        <v>227</v>
      </c>
      <c r="E373" s="12">
        <v>46138.319548611114</v>
      </c>
      <c r="F373" s="14">
        <v>280000.0</v>
      </c>
      <c r="G373" s="14">
        <v>17000.0</v>
      </c>
      <c r="H373" s="6">
        <v>2.0</v>
      </c>
      <c r="I373" s="14">
        <v>560000.0</v>
      </c>
      <c r="J373" s="5" t="s">
        <v>1226</v>
      </c>
      <c r="K373" s="15">
        <f t="shared" si="1"/>
        <v>0</v>
      </c>
      <c r="L373" s="15">
        <f t="shared" si="2"/>
        <v>560000</v>
      </c>
      <c r="M373" s="15">
        <f t="shared" si="3"/>
        <v>577000</v>
      </c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8.0" customHeight="1">
      <c r="A374" s="5" t="s">
        <v>958</v>
      </c>
      <c r="B374" s="6">
        <v>4.0</v>
      </c>
      <c r="C374" s="5" t="s">
        <v>296</v>
      </c>
      <c r="D374" s="5" t="s">
        <v>879</v>
      </c>
      <c r="E374" s="12">
        <v>46138.319548611114</v>
      </c>
      <c r="F374" s="14">
        <v>180000.0</v>
      </c>
      <c r="G374" s="14">
        <v>5000.0</v>
      </c>
      <c r="H374" s="6">
        <v>4.0</v>
      </c>
      <c r="I374" s="14">
        <v>720000.0</v>
      </c>
      <c r="J374" s="5" t="s">
        <v>1227</v>
      </c>
      <c r="K374" s="15">
        <f t="shared" si="1"/>
        <v>0</v>
      </c>
      <c r="L374" s="15">
        <f t="shared" si="2"/>
        <v>720000</v>
      </c>
      <c r="M374" s="15">
        <f t="shared" si="3"/>
        <v>725000</v>
      </c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8.0" customHeight="1">
      <c r="A375" s="5" t="s">
        <v>960</v>
      </c>
      <c r="B375" s="6">
        <v>1.0</v>
      </c>
      <c r="C375" s="5" t="s">
        <v>527</v>
      </c>
      <c r="D375" s="5" t="s">
        <v>227</v>
      </c>
      <c r="E375" s="12">
        <v>45971.68210648148</v>
      </c>
      <c r="F375" s="14">
        <v>140000.0</v>
      </c>
      <c r="G375" s="14">
        <v>6000.0</v>
      </c>
      <c r="H375" s="6">
        <v>4.0</v>
      </c>
      <c r="I375" s="14">
        <v>560000.0</v>
      </c>
      <c r="J375" s="5" t="s">
        <v>1228</v>
      </c>
      <c r="K375" s="15">
        <f t="shared" si="1"/>
        <v>0</v>
      </c>
      <c r="L375" s="15">
        <f t="shared" si="2"/>
        <v>560000</v>
      </c>
      <c r="M375" s="15">
        <f t="shared" si="3"/>
        <v>566000</v>
      </c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8.0" customHeight="1">
      <c r="A376" s="5" t="s">
        <v>960</v>
      </c>
      <c r="B376" s="6">
        <v>2.0</v>
      </c>
      <c r="C376" s="5" t="s">
        <v>264</v>
      </c>
      <c r="D376" s="5" t="s">
        <v>266</v>
      </c>
      <c r="E376" s="12">
        <v>45971.68210648148</v>
      </c>
      <c r="F376" s="14">
        <v>305000.0</v>
      </c>
      <c r="G376" s="14">
        <v>15000.0</v>
      </c>
      <c r="H376" s="6">
        <v>1.0</v>
      </c>
      <c r="I376" s="14">
        <v>305000.0</v>
      </c>
      <c r="J376" s="5" t="s">
        <v>1229</v>
      </c>
      <c r="K376" s="15">
        <f t="shared" si="1"/>
        <v>0</v>
      </c>
      <c r="L376" s="15">
        <f t="shared" si="2"/>
        <v>305000</v>
      </c>
      <c r="M376" s="15">
        <f t="shared" si="3"/>
        <v>320000</v>
      </c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8.0" customHeight="1">
      <c r="A377" s="5" t="s">
        <v>960</v>
      </c>
      <c r="B377" s="6">
        <v>3.0</v>
      </c>
      <c r="C377" s="5" t="s">
        <v>507</v>
      </c>
      <c r="D377" s="5" t="s">
        <v>550</v>
      </c>
      <c r="E377" s="12">
        <v>45971.68210648148</v>
      </c>
      <c r="F377" s="14">
        <v>167000.0</v>
      </c>
      <c r="G377" s="14">
        <v>10000.0</v>
      </c>
      <c r="H377" s="6">
        <v>3.0</v>
      </c>
      <c r="I377" s="14">
        <v>501000.0</v>
      </c>
      <c r="J377" s="5" t="s">
        <v>1230</v>
      </c>
      <c r="K377" s="15">
        <f t="shared" si="1"/>
        <v>0</v>
      </c>
      <c r="L377" s="15">
        <f t="shared" si="2"/>
        <v>501000</v>
      </c>
      <c r="M377" s="15">
        <f t="shared" si="3"/>
        <v>511000</v>
      </c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8.0" customHeight="1">
      <c r="A378" s="5" t="s">
        <v>960</v>
      </c>
      <c r="B378" s="6">
        <v>4.0</v>
      </c>
      <c r="C378" s="5" t="s">
        <v>356</v>
      </c>
      <c r="D378" s="5" t="s">
        <v>478</v>
      </c>
      <c r="E378" s="12">
        <v>45971.68210648148</v>
      </c>
      <c r="F378" s="14">
        <v>145000.0</v>
      </c>
      <c r="G378" s="14">
        <v>4000.0</v>
      </c>
      <c r="H378" s="6">
        <v>1.0</v>
      </c>
      <c r="I378" s="14">
        <v>145000.0</v>
      </c>
      <c r="J378" s="5" t="s">
        <v>1231</v>
      </c>
      <c r="K378" s="15">
        <f t="shared" si="1"/>
        <v>0</v>
      </c>
      <c r="L378" s="15">
        <f t="shared" si="2"/>
        <v>145000</v>
      </c>
      <c r="M378" s="15">
        <f t="shared" si="3"/>
        <v>149000</v>
      </c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8.0" customHeight="1">
      <c r="A379" s="5" t="s">
        <v>961</v>
      </c>
      <c r="B379" s="6">
        <v>1.0</v>
      </c>
      <c r="C379" s="5" t="s">
        <v>198</v>
      </c>
      <c r="D379" s="5" t="s">
        <v>178</v>
      </c>
      <c r="E379" s="12">
        <v>45538.910520833335</v>
      </c>
      <c r="F379" s="14">
        <v>149000.0</v>
      </c>
      <c r="G379" s="14">
        <v>6000.0</v>
      </c>
      <c r="H379" s="6">
        <v>3.0</v>
      </c>
      <c r="I379" s="14">
        <v>447000.0</v>
      </c>
      <c r="J379" s="5" t="s">
        <v>1232</v>
      </c>
      <c r="K379" s="15">
        <f t="shared" si="1"/>
        <v>0</v>
      </c>
      <c r="L379" s="15">
        <f t="shared" si="2"/>
        <v>447000</v>
      </c>
      <c r="M379" s="15">
        <f t="shared" si="3"/>
        <v>453000</v>
      </c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8.0" customHeight="1">
      <c r="A380" s="5" t="s">
        <v>961</v>
      </c>
      <c r="B380" s="6">
        <v>2.0</v>
      </c>
      <c r="C380" s="5" t="s">
        <v>353</v>
      </c>
      <c r="D380" s="5" t="s">
        <v>156</v>
      </c>
      <c r="E380" s="12">
        <v>45538.910520833335</v>
      </c>
      <c r="F380" s="14">
        <v>125000.0</v>
      </c>
      <c r="G380" s="14">
        <v>6000.0</v>
      </c>
      <c r="H380" s="6">
        <v>4.0</v>
      </c>
      <c r="I380" s="14">
        <v>500000.0</v>
      </c>
      <c r="J380" s="5" t="s">
        <v>1233</v>
      </c>
      <c r="K380" s="15">
        <f t="shared" si="1"/>
        <v>0</v>
      </c>
      <c r="L380" s="15">
        <f t="shared" si="2"/>
        <v>500000</v>
      </c>
      <c r="M380" s="15">
        <f t="shared" si="3"/>
        <v>506000</v>
      </c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8.0" customHeight="1">
      <c r="A381" s="5" t="s">
        <v>961</v>
      </c>
      <c r="B381" s="6">
        <v>3.0</v>
      </c>
      <c r="C381" s="5" t="s">
        <v>465</v>
      </c>
      <c r="D381" s="5" t="s">
        <v>304</v>
      </c>
      <c r="E381" s="12">
        <v>45538.910520833335</v>
      </c>
      <c r="F381" s="14">
        <v>125000.0</v>
      </c>
      <c r="G381" s="14">
        <v>8000.0</v>
      </c>
      <c r="H381" s="6">
        <v>3.0</v>
      </c>
      <c r="I381" s="14">
        <v>375000.0</v>
      </c>
      <c r="J381" s="5" t="s">
        <v>1234</v>
      </c>
      <c r="K381" s="15">
        <f t="shared" si="1"/>
        <v>0</v>
      </c>
      <c r="L381" s="15">
        <f t="shared" si="2"/>
        <v>375000</v>
      </c>
      <c r="M381" s="15">
        <f t="shared" si="3"/>
        <v>383000</v>
      </c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8.0" customHeight="1">
      <c r="A382" s="5" t="s">
        <v>961</v>
      </c>
      <c r="B382" s="6">
        <v>4.0</v>
      </c>
      <c r="C382" s="5" t="s">
        <v>177</v>
      </c>
      <c r="D382" s="5" t="s">
        <v>602</v>
      </c>
      <c r="E382" s="12">
        <v>45538.910520833335</v>
      </c>
      <c r="F382" s="14">
        <v>145000.0</v>
      </c>
      <c r="G382" s="14">
        <v>4000.0</v>
      </c>
      <c r="H382" s="6">
        <v>3.0</v>
      </c>
      <c r="I382" s="14">
        <v>435000.0</v>
      </c>
      <c r="J382" s="5" t="s">
        <v>1235</v>
      </c>
      <c r="K382" s="15">
        <f t="shared" si="1"/>
        <v>0</v>
      </c>
      <c r="L382" s="15">
        <f t="shared" si="2"/>
        <v>435000</v>
      </c>
      <c r="M382" s="15">
        <f t="shared" si="3"/>
        <v>439000</v>
      </c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8.0" customHeight="1">
      <c r="A383" s="5" t="s">
        <v>963</v>
      </c>
      <c r="B383" s="6">
        <v>1.0</v>
      </c>
      <c r="C383" s="5" t="s">
        <v>356</v>
      </c>
      <c r="D383" s="5" t="s">
        <v>478</v>
      </c>
      <c r="E383" s="12">
        <v>45426.43828703704</v>
      </c>
      <c r="F383" s="14">
        <v>138000.0</v>
      </c>
      <c r="G383" s="14">
        <v>6000.0</v>
      </c>
      <c r="H383" s="6">
        <v>4.0</v>
      </c>
      <c r="I383" s="14">
        <v>552000.0</v>
      </c>
      <c r="J383" s="5" t="s">
        <v>1236</v>
      </c>
      <c r="K383" s="15">
        <f t="shared" si="1"/>
        <v>0</v>
      </c>
      <c r="L383" s="15">
        <f t="shared" si="2"/>
        <v>552000</v>
      </c>
      <c r="M383" s="15">
        <f t="shared" si="3"/>
        <v>558000</v>
      </c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8.0" customHeight="1">
      <c r="A384" s="5" t="s">
        <v>965</v>
      </c>
      <c r="B384" s="6">
        <v>1.0</v>
      </c>
      <c r="C384" s="5" t="s">
        <v>271</v>
      </c>
      <c r="D384" s="5" t="s">
        <v>770</v>
      </c>
      <c r="E384" s="12">
        <v>45914.525729166664</v>
      </c>
      <c r="F384" s="14">
        <v>184000.0</v>
      </c>
      <c r="G384" s="14">
        <v>9000.0</v>
      </c>
      <c r="H384" s="6">
        <v>4.0</v>
      </c>
      <c r="I384" s="14">
        <v>736000.0</v>
      </c>
      <c r="J384" s="5" t="s">
        <v>1237</v>
      </c>
      <c r="K384" s="15">
        <f t="shared" si="1"/>
        <v>0</v>
      </c>
      <c r="L384" s="15">
        <f t="shared" si="2"/>
        <v>736000</v>
      </c>
      <c r="M384" s="15">
        <f t="shared" si="3"/>
        <v>745000</v>
      </c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8.0" customHeight="1">
      <c r="A385" s="5" t="s">
        <v>966</v>
      </c>
      <c r="B385" s="6">
        <v>1.0</v>
      </c>
      <c r="C385" s="5" t="s">
        <v>257</v>
      </c>
      <c r="D385" s="5" t="s">
        <v>715</v>
      </c>
      <c r="E385" s="12">
        <v>45456.58645833333</v>
      </c>
      <c r="F385" s="14">
        <v>250000.0</v>
      </c>
      <c r="G385" s="14">
        <v>15000.0</v>
      </c>
      <c r="H385" s="6">
        <v>1.0</v>
      </c>
      <c r="I385" s="14">
        <v>250000.0</v>
      </c>
      <c r="J385" s="5" t="s">
        <v>1238</v>
      </c>
      <c r="K385" s="15">
        <f t="shared" si="1"/>
        <v>0</v>
      </c>
      <c r="L385" s="15">
        <f t="shared" si="2"/>
        <v>250000</v>
      </c>
      <c r="M385" s="15">
        <f t="shared" si="3"/>
        <v>265000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8.0" customHeight="1">
      <c r="A386" s="5" t="s">
        <v>966</v>
      </c>
      <c r="B386" s="6">
        <v>2.0</v>
      </c>
      <c r="C386" s="5" t="s">
        <v>222</v>
      </c>
      <c r="D386" s="5" t="s">
        <v>414</v>
      </c>
      <c r="E386" s="12">
        <v>45456.58645833333</v>
      </c>
      <c r="F386" s="14">
        <v>257000.0</v>
      </c>
      <c r="G386" s="14">
        <v>8000.0</v>
      </c>
      <c r="H386" s="6">
        <v>2.0</v>
      </c>
      <c r="I386" s="14">
        <v>514000.0</v>
      </c>
      <c r="J386" s="5" t="s">
        <v>1239</v>
      </c>
      <c r="K386" s="15">
        <f t="shared" si="1"/>
        <v>0</v>
      </c>
      <c r="L386" s="15">
        <f t="shared" si="2"/>
        <v>514000</v>
      </c>
      <c r="M386" s="15">
        <f t="shared" si="3"/>
        <v>522000</v>
      </c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8.0" customHeight="1">
      <c r="A387" s="5" t="s">
        <v>969</v>
      </c>
      <c r="B387" s="6">
        <v>1.0</v>
      </c>
      <c r="C387" s="5" t="s">
        <v>177</v>
      </c>
      <c r="D387" s="5" t="s">
        <v>602</v>
      </c>
      <c r="E387" s="12">
        <v>46225.91295138889</v>
      </c>
      <c r="F387" s="14">
        <v>152000.0</v>
      </c>
      <c r="G387" s="14">
        <v>6000.0</v>
      </c>
      <c r="H387" s="6">
        <v>2.0</v>
      </c>
      <c r="I387" s="14">
        <v>304000.0</v>
      </c>
      <c r="J387" s="5" t="s">
        <v>1240</v>
      </c>
      <c r="K387" s="15">
        <f t="shared" si="1"/>
        <v>0</v>
      </c>
      <c r="L387" s="15">
        <f t="shared" si="2"/>
        <v>304000</v>
      </c>
      <c r="M387" s="15">
        <f t="shared" si="3"/>
        <v>310000</v>
      </c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8.0" customHeight="1">
      <c r="A388" s="5" t="s">
        <v>969</v>
      </c>
      <c r="B388" s="6">
        <v>2.0</v>
      </c>
      <c r="C388" s="5" t="s">
        <v>376</v>
      </c>
      <c r="D388" s="5" t="s">
        <v>800</v>
      </c>
      <c r="E388" s="12">
        <v>46225.91295138889</v>
      </c>
      <c r="F388" s="14">
        <v>160000.0</v>
      </c>
      <c r="G388" s="14">
        <v>8000.0</v>
      </c>
      <c r="H388" s="6">
        <v>2.0</v>
      </c>
      <c r="I388" s="14">
        <v>320000.0</v>
      </c>
      <c r="J388" s="5" t="s">
        <v>1241</v>
      </c>
      <c r="K388" s="15">
        <f t="shared" si="1"/>
        <v>0</v>
      </c>
      <c r="L388" s="15">
        <f t="shared" si="2"/>
        <v>320000</v>
      </c>
      <c r="M388" s="15">
        <f t="shared" si="3"/>
        <v>328000</v>
      </c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8.0" customHeight="1">
      <c r="A389" s="5" t="s">
        <v>970</v>
      </c>
      <c r="B389" s="6">
        <v>1.0</v>
      </c>
      <c r="C389" s="5" t="s">
        <v>271</v>
      </c>
      <c r="D389" s="5" t="s">
        <v>770</v>
      </c>
      <c r="E389" s="12">
        <v>45580.033634259256</v>
      </c>
      <c r="F389" s="14">
        <v>184000.0</v>
      </c>
      <c r="G389" s="14">
        <v>11000.0</v>
      </c>
      <c r="H389" s="6">
        <v>2.0</v>
      </c>
      <c r="I389" s="14">
        <v>368000.0</v>
      </c>
      <c r="J389" s="5" t="s">
        <v>1242</v>
      </c>
      <c r="K389" s="15">
        <f t="shared" si="1"/>
        <v>0</v>
      </c>
      <c r="L389" s="15">
        <f t="shared" si="2"/>
        <v>368000</v>
      </c>
      <c r="M389" s="15">
        <f t="shared" si="3"/>
        <v>379000</v>
      </c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8.0" customHeight="1">
      <c r="A390" s="5" t="s">
        <v>972</v>
      </c>
      <c r="B390" s="6">
        <v>1.0</v>
      </c>
      <c r="C390" s="5" t="s">
        <v>296</v>
      </c>
      <c r="D390" s="5" t="s">
        <v>879</v>
      </c>
      <c r="E390" s="12">
        <v>46173.76336805556</v>
      </c>
      <c r="F390" s="14">
        <v>189000.0</v>
      </c>
      <c r="G390" s="14">
        <v>6000.0</v>
      </c>
      <c r="H390" s="6">
        <v>4.0</v>
      </c>
      <c r="I390" s="14">
        <v>756000.0</v>
      </c>
      <c r="J390" s="5" t="s">
        <v>1243</v>
      </c>
      <c r="K390" s="15">
        <f t="shared" si="1"/>
        <v>0</v>
      </c>
      <c r="L390" s="15">
        <f t="shared" si="2"/>
        <v>756000</v>
      </c>
      <c r="M390" s="15">
        <f t="shared" si="3"/>
        <v>762000</v>
      </c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8.0" customHeight="1">
      <c r="A391" s="5" t="s">
        <v>972</v>
      </c>
      <c r="B391" s="6">
        <v>2.0</v>
      </c>
      <c r="C391" s="5" t="s">
        <v>264</v>
      </c>
      <c r="D391" s="5" t="s">
        <v>266</v>
      </c>
      <c r="E391" s="12">
        <v>46173.76336805556</v>
      </c>
      <c r="F391" s="14">
        <v>305000.0</v>
      </c>
      <c r="G391" s="14">
        <v>12000.0</v>
      </c>
      <c r="H391" s="6">
        <v>2.0</v>
      </c>
      <c r="I391" s="14">
        <v>610000.0</v>
      </c>
      <c r="J391" s="5" t="s">
        <v>1244</v>
      </c>
      <c r="K391" s="15">
        <f t="shared" si="1"/>
        <v>0</v>
      </c>
      <c r="L391" s="15">
        <f t="shared" si="2"/>
        <v>610000</v>
      </c>
      <c r="M391" s="15">
        <f t="shared" si="3"/>
        <v>622000</v>
      </c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8.0" customHeight="1">
      <c r="A392" s="5" t="s">
        <v>972</v>
      </c>
      <c r="B392" s="6">
        <v>3.0</v>
      </c>
      <c r="C392" s="5" t="s">
        <v>234</v>
      </c>
      <c r="D392" s="5" t="s">
        <v>701</v>
      </c>
      <c r="E392" s="12">
        <v>46173.76336805556</v>
      </c>
      <c r="F392" s="14">
        <v>195000.0</v>
      </c>
      <c r="G392" s="14">
        <v>10000.0</v>
      </c>
      <c r="H392" s="6">
        <v>4.0</v>
      </c>
      <c r="I392" s="14">
        <v>780000.0</v>
      </c>
      <c r="J392" s="5" t="s">
        <v>1245</v>
      </c>
      <c r="K392" s="15">
        <f t="shared" si="1"/>
        <v>0</v>
      </c>
      <c r="L392" s="15">
        <f t="shared" si="2"/>
        <v>780000</v>
      </c>
      <c r="M392" s="15">
        <f t="shared" si="3"/>
        <v>790000</v>
      </c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8.0" customHeight="1">
      <c r="A393" s="5" t="s">
        <v>974</v>
      </c>
      <c r="B393" s="6">
        <v>1.0</v>
      </c>
      <c r="C393" s="5" t="s">
        <v>353</v>
      </c>
      <c r="D393" s="5" t="s">
        <v>156</v>
      </c>
      <c r="E393" s="12">
        <v>45701.75502314815</v>
      </c>
      <c r="F393" s="14">
        <v>125000.0</v>
      </c>
      <c r="G393" s="14">
        <v>8000.0</v>
      </c>
      <c r="H393" s="6">
        <v>2.0</v>
      </c>
      <c r="I393" s="14">
        <v>250000.0</v>
      </c>
      <c r="J393" s="5" t="s">
        <v>1246</v>
      </c>
      <c r="K393" s="15">
        <f t="shared" si="1"/>
        <v>0</v>
      </c>
      <c r="L393" s="15">
        <f t="shared" si="2"/>
        <v>250000</v>
      </c>
      <c r="M393" s="15">
        <f t="shared" si="3"/>
        <v>258000</v>
      </c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8.0" customHeight="1">
      <c r="A394" s="5" t="s">
        <v>974</v>
      </c>
      <c r="B394" s="6">
        <v>2.0</v>
      </c>
      <c r="C394" s="5" t="s">
        <v>210</v>
      </c>
      <c r="D394" s="5" t="s">
        <v>589</v>
      </c>
      <c r="E394" s="12">
        <v>45701.75502314815</v>
      </c>
      <c r="F394" s="14">
        <v>95000.0</v>
      </c>
      <c r="G394" s="14">
        <v>3000.0</v>
      </c>
      <c r="H394" s="6">
        <v>2.0</v>
      </c>
      <c r="I394" s="14">
        <v>190000.0</v>
      </c>
      <c r="J394" s="5" t="s">
        <v>1247</v>
      </c>
      <c r="K394" s="15">
        <f t="shared" si="1"/>
        <v>0</v>
      </c>
      <c r="L394" s="15">
        <f t="shared" si="2"/>
        <v>190000</v>
      </c>
      <c r="M394" s="15">
        <f t="shared" si="3"/>
        <v>193000</v>
      </c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8.0" customHeight="1">
      <c r="A395" s="5" t="s">
        <v>974</v>
      </c>
      <c r="B395" s="6">
        <v>3.0</v>
      </c>
      <c r="C395" s="5" t="s">
        <v>112</v>
      </c>
      <c r="D395" s="5" t="s">
        <v>304</v>
      </c>
      <c r="E395" s="12">
        <v>45701.75502314815</v>
      </c>
      <c r="F395" s="14">
        <v>220000.0</v>
      </c>
      <c r="G395" s="14">
        <v>9000.0</v>
      </c>
      <c r="H395" s="6">
        <v>3.0</v>
      </c>
      <c r="I395" s="14">
        <v>660000.0</v>
      </c>
      <c r="J395" s="5" t="s">
        <v>1248</v>
      </c>
      <c r="K395" s="15">
        <f t="shared" si="1"/>
        <v>0</v>
      </c>
      <c r="L395" s="15">
        <f t="shared" si="2"/>
        <v>660000</v>
      </c>
      <c r="M395" s="15">
        <f t="shared" si="3"/>
        <v>669000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8.0" customHeight="1">
      <c r="A396" s="5" t="s">
        <v>975</v>
      </c>
      <c r="B396" s="6">
        <v>1.0</v>
      </c>
      <c r="C396" s="5" t="s">
        <v>331</v>
      </c>
      <c r="D396" s="5" t="s">
        <v>541</v>
      </c>
      <c r="E396" s="12">
        <v>45763.330613425926</v>
      </c>
      <c r="F396" s="14">
        <v>122000.0</v>
      </c>
      <c r="G396" s="14">
        <v>6000.0</v>
      </c>
      <c r="H396" s="6">
        <v>2.0</v>
      </c>
      <c r="I396" s="14">
        <v>244000.0</v>
      </c>
      <c r="J396" s="5" t="s">
        <v>1249</v>
      </c>
      <c r="K396" s="15">
        <f t="shared" si="1"/>
        <v>0</v>
      </c>
      <c r="L396" s="15">
        <f t="shared" si="2"/>
        <v>244000</v>
      </c>
      <c r="M396" s="15">
        <f t="shared" si="3"/>
        <v>250000</v>
      </c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8.0" customHeight="1">
      <c r="A397" s="5" t="s">
        <v>977</v>
      </c>
      <c r="B397" s="6">
        <v>1.0</v>
      </c>
      <c r="C397" s="5" t="s">
        <v>320</v>
      </c>
      <c r="D397" s="5" t="s">
        <v>321</v>
      </c>
      <c r="E397" s="12">
        <v>45668.89743055555</v>
      </c>
      <c r="F397" s="14">
        <v>162000.0</v>
      </c>
      <c r="G397" s="14">
        <v>10000.0</v>
      </c>
      <c r="H397" s="6">
        <v>1.0</v>
      </c>
      <c r="I397" s="14">
        <v>162000.0</v>
      </c>
      <c r="J397" s="5" t="s">
        <v>1250</v>
      </c>
      <c r="K397" s="15">
        <f t="shared" si="1"/>
        <v>0</v>
      </c>
      <c r="L397" s="15">
        <f t="shared" si="2"/>
        <v>162000</v>
      </c>
      <c r="M397" s="15">
        <f t="shared" si="3"/>
        <v>172000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8.0" customHeight="1">
      <c r="A398" s="5" t="s">
        <v>977</v>
      </c>
      <c r="B398" s="6">
        <v>2.0</v>
      </c>
      <c r="C398" s="5" t="s">
        <v>136</v>
      </c>
      <c r="D398" s="5" t="s">
        <v>445</v>
      </c>
      <c r="E398" s="12">
        <v>45668.89743055555</v>
      </c>
      <c r="F398" s="14">
        <v>751000.0</v>
      </c>
      <c r="G398" s="14">
        <v>23000.0</v>
      </c>
      <c r="H398" s="6">
        <v>4.0</v>
      </c>
      <c r="I398" s="14">
        <v>3004000.0</v>
      </c>
      <c r="J398" s="5" t="s">
        <v>1251</v>
      </c>
      <c r="K398" s="15">
        <f t="shared" si="1"/>
        <v>0</v>
      </c>
      <c r="L398" s="15">
        <f t="shared" si="2"/>
        <v>3004000</v>
      </c>
      <c r="M398" s="15">
        <f t="shared" si="3"/>
        <v>3027000</v>
      </c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8.0" customHeight="1">
      <c r="A399" s="5" t="s">
        <v>978</v>
      </c>
      <c r="B399" s="6">
        <v>1.0</v>
      </c>
      <c r="C399" s="5" t="s">
        <v>112</v>
      </c>
      <c r="D399" s="5" t="s">
        <v>304</v>
      </c>
      <c r="E399" s="12">
        <v>45625.70104166667</v>
      </c>
      <c r="F399" s="14">
        <v>220000.0</v>
      </c>
      <c r="G399" s="14">
        <v>9000.0</v>
      </c>
      <c r="H399" s="6">
        <v>1.0</v>
      </c>
      <c r="I399" s="14">
        <v>220000.0</v>
      </c>
      <c r="J399" s="5" t="s">
        <v>1252</v>
      </c>
      <c r="K399" s="15">
        <f t="shared" si="1"/>
        <v>0</v>
      </c>
      <c r="L399" s="15">
        <f t="shared" si="2"/>
        <v>220000</v>
      </c>
      <c r="M399" s="15">
        <f t="shared" si="3"/>
        <v>229000</v>
      </c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8.0" customHeight="1">
      <c r="A400" s="5" t="s">
        <v>978</v>
      </c>
      <c r="B400" s="6">
        <v>2.0</v>
      </c>
      <c r="C400" s="5" t="s">
        <v>136</v>
      </c>
      <c r="D400" s="5" t="s">
        <v>445</v>
      </c>
      <c r="E400" s="12">
        <v>45625.70104166667</v>
      </c>
      <c r="F400" s="14">
        <v>790000.0</v>
      </c>
      <c r="G400" s="14">
        <v>40000.0</v>
      </c>
      <c r="H400" s="6">
        <v>4.0</v>
      </c>
      <c r="I400" s="14">
        <v>3160000.0</v>
      </c>
      <c r="J400" s="5" t="s">
        <v>1253</v>
      </c>
      <c r="K400" s="15">
        <f t="shared" si="1"/>
        <v>0</v>
      </c>
      <c r="L400" s="15">
        <f t="shared" si="2"/>
        <v>3160000</v>
      </c>
      <c r="M400" s="15">
        <f t="shared" si="3"/>
        <v>3200000</v>
      </c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8.0" customHeight="1">
      <c r="A401" s="5" t="s">
        <v>978</v>
      </c>
      <c r="B401" s="6">
        <v>3.0</v>
      </c>
      <c r="C401" s="5" t="s">
        <v>331</v>
      </c>
      <c r="D401" s="5" t="s">
        <v>541</v>
      </c>
      <c r="E401" s="12">
        <v>45625.70104166667</v>
      </c>
      <c r="F401" s="14">
        <v>135000.0</v>
      </c>
      <c r="G401" s="14">
        <v>8000.0</v>
      </c>
      <c r="H401" s="6">
        <v>4.0</v>
      </c>
      <c r="I401" s="14">
        <v>540000.0</v>
      </c>
      <c r="J401" s="5" t="s">
        <v>1254</v>
      </c>
      <c r="K401" s="15">
        <f t="shared" si="1"/>
        <v>0</v>
      </c>
      <c r="L401" s="15">
        <f t="shared" si="2"/>
        <v>540000</v>
      </c>
      <c r="M401" s="15">
        <f t="shared" si="3"/>
        <v>548000</v>
      </c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8.0" customHeight="1">
      <c r="A402" s="5" t="s">
        <v>978</v>
      </c>
      <c r="B402" s="6">
        <v>4.0</v>
      </c>
      <c r="C402" s="5" t="s">
        <v>402</v>
      </c>
      <c r="D402" s="5" t="s">
        <v>615</v>
      </c>
      <c r="E402" s="12">
        <v>45625.70104166667</v>
      </c>
      <c r="F402" s="14">
        <v>399000.0</v>
      </c>
      <c r="G402" s="14">
        <v>12000.0</v>
      </c>
      <c r="H402" s="6">
        <v>1.0</v>
      </c>
      <c r="I402" s="14">
        <v>399000.0</v>
      </c>
      <c r="J402" s="5" t="s">
        <v>1255</v>
      </c>
      <c r="K402" s="15">
        <f t="shared" si="1"/>
        <v>0</v>
      </c>
      <c r="L402" s="15">
        <f t="shared" si="2"/>
        <v>399000</v>
      </c>
      <c r="M402" s="15">
        <f t="shared" si="3"/>
        <v>411000</v>
      </c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8.0" customHeight="1">
      <c r="A403" s="5" t="s">
        <v>980</v>
      </c>
      <c r="B403" s="6">
        <v>1.0</v>
      </c>
      <c r="C403" s="5" t="s">
        <v>264</v>
      </c>
      <c r="D403" s="5" t="s">
        <v>266</v>
      </c>
      <c r="E403" s="12">
        <v>45989.83629629629</v>
      </c>
      <c r="F403" s="14">
        <v>276000.0</v>
      </c>
      <c r="G403" s="14">
        <v>11000.0</v>
      </c>
      <c r="H403" s="6">
        <v>1.0</v>
      </c>
      <c r="I403" s="14">
        <v>276000.0</v>
      </c>
      <c r="J403" s="5" t="s">
        <v>1256</v>
      </c>
      <c r="K403" s="15">
        <f t="shared" si="1"/>
        <v>0</v>
      </c>
      <c r="L403" s="15">
        <f t="shared" si="2"/>
        <v>276000</v>
      </c>
      <c r="M403" s="15">
        <f t="shared" si="3"/>
        <v>287000</v>
      </c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8.0" customHeight="1">
      <c r="A404" s="5" t="s">
        <v>980</v>
      </c>
      <c r="B404" s="6">
        <v>2.0</v>
      </c>
      <c r="C404" s="5" t="s">
        <v>331</v>
      </c>
      <c r="D404" s="5" t="s">
        <v>541</v>
      </c>
      <c r="E404" s="12">
        <v>45989.83629629629</v>
      </c>
      <c r="F404" s="14">
        <v>142000.0</v>
      </c>
      <c r="G404" s="14">
        <v>7000.0</v>
      </c>
      <c r="H404" s="6">
        <v>2.0</v>
      </c>
      <c r="I404" s="14">
        <v>284000.0</v>
      </c>
      <c r="J404" s="5" t="s">
        <v>1257</v>
      </c>
      <c r="K404" s="15">
        <f t="shared" si="1"/>
        <v>0</v>
      </c>
      <c r="L404" s="15">
        <f t="shared" si="2"/>
        <v>284000</v>
      </c>
      <c r="M404" s="15">
        <f t="shared" si="3"/>
        <v>291000</v>
      </c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8.0" customHeight="1">
      <c r="A405" s="5" t="s">
        <v>980</v>
      </c>
      <c r="B405" s="6">
        <v>3.0</v>
      </c>
      <c r="C405" s="5" t="s">
        <v>336</v>
      </c>
      <c r="D405" s="5" t="s">
        <v>337</v>
      </c>
      <c r="E405" s="12">
        <v>45989.83629629629</v>
      </c>
      <c r="F405" s="14">
        <v>280000.0</v>
      </c>
      <c r="G405" s="14">
        <v>17000.0</v>
      </c>
      <c r="H405" s="6">
        <v>3.0</v>
      </c>
      <c r="I405" s="14">
        <v>840000.0</v>
      </c>
      <c r="J405" s="5" t="s">
        <v>1258</v>
      </c>
      <c r="K405" s="15">
        <f t="shared" si="1"/>
        <v>0</v>
      </c>
      <c r="L405" s="15">
        <f t="shared" si="2"/>
        <v>840000</v>
      </c>
      <c r="M405" s="15">
        <f t="shared" si="3"/>
        <v>857000</v>
      </c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8.0" customHeight="1">
      <c r="A406" s="5" t="s">
        <v>982</v>
      </c>
      <c r="B406" s="6">
        <v>1.0</v>
      </c>
      <c r="C406" s="5" t="s">
        <v>424</v>
      </c>
      <c r="D406" s="5" t="s">
        <v>667</v>
      </c>
      <c r="E406" s="12">
        <v>45428.730625</v>
      </c>
      <c r="F406" s="14">
        <v>185000.0</v>
      </c>
      <c r="G406" s="14">
        <v>6000.0</v>
      </c>
      <c r="H406" s="6">
        <v>4.0</v>
      </c>
      <c r="I406" s="14">
        <v>740000.0</v>
      </c>
      <c r="J406" s="5" t="s">
        <v>1259</v>
      </c>
      <c r="K406" s="15">
        <f t="shared" si="1"/>
        <v>0</v>
      </c>
      <c r="L406" s="15">
        <f t="shared" si="2"/>
        <v>740000</v>
      </c>
      <c r="M406" s="15">
        <f t="shared" si="3"/>
        <v>746000</v>
      </c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8.0" customHeight="1">
      <c r="A407" s="5" t="s">
        <v>983</v>
      </c>
      <c r="B407" s="6">
        <v>1.0</v>
      </c>
      <c r="C407" s="5" t="s">
        <v>424</v>
      </c>
      <c r="D407" s="5" t="s">
        <v>667</v>
      </c>
      <c r="E407" s="12">
        <v>45525.18850694445</v>
      </c>
      <c r="F407" s="14">
        <v>205000.0</v>
      </c>
      <c r="G407" s="14">
        <v>8000.0</v>
      </c>
      <c r="H407" s="6">
        <v>3.0</v>
      </c>
      <c r="I407" s="14">
        <v>615000.0</v>
      </c>
      <c r="J407" s="5" t="s">
        <v>1260</v>
      </c>
      <c r="K407" s="15">
        <f t="shared" si="1"/>
        <v>0</v>
      </c>
      <c r="L407" s="15">
        <f t="shared" si="2"/>
        <v>615000</v>
      </c>
      <c r="M407" s="15">
        <f t="shared" si="3"/>
        <v>623000</v>
      </c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8.0" customHeight="1">
      <c r="A408" s="5" t="s">
        <v>983</v>
      </c>
      <c r="B408" s="6">
        <v>2.0</v>
      </c>
      <c r="C408" s="5" t="s">
        <v>43</v>
      </c>
      <c r="D408" s="5" t="s">
        <v>321</v>
      </c>
      <c r="E408" s="12">
        <v>45525.18850694445</v>
      </c>
      <c r="F408" s="14">
        <v>450000.0</v>
      </c>
      <c r="G408" s="14">
        <v>23000.0</v>
      </c>
      <c r="H408" s="6">
        <v>4.0</v>
      </c>
      <c r="I408" s="14">
        <v>1800000.0</v>
      </c>
      <c r="J408" s="5" t="s">
        <v>1261</v>
      </c>
      <c r="K408" s="15">
        <f t="shared" si="1"/>
        <v>0</v>
      </c>
      <c r="L408" s="15">
        <f t="shared" si="2"/>
        <v>1800000</v>
      </c>
      <c r="M408" s="15">
        <f t="shared" si="3"/>
        <v>1823000</v>
      </c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8.0" customHeight="1">
      <c r="A409" s="5" t="s">
        <v>983</v>
      </c>
      <c r="B409" s="6">
        <v>3.0</v>
      </c>
      <c r="C409" s="5" t="s">
        <v>234</v>
      </c>
      <c r="D409" s="5" t="s">
        <v>701</v>
      </c>
      <c r="E409" s="12">
        <v>45525.18850694445</v>
      </c>
      <c r="F409" s="14">
        <v>205000.0</v>
      </c>
      <c r="G409" s="14">
        <v>12000.0</v>
      </c>
      <c r="H409" s="6">
        <v>4.0</v>
      </c>
      <c r="I409" s="14">
        <v>820000.0</v>
      </c>
      <c r="J409" s="5" t="s">
        <v>1262</v>
      </c>
      <c r="K409" s="15">
        <f t="shared" si="1"/>
        <v>0</v>
      </c>
      <c r="L409" s="15">
        <f t="shared" si="2"/>
        <v>820000</v>
      </c>
      <c r="M409" s="15">
        <f t="shared" si="3"/>
        <v>832000</v>
      </c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8.0" customHeight="1">
      <c r="A410" s="5" t="s">
        <v>985</v>
      </c>
      <c r="B410" s="6">
        <v>1.0</v>
      </c>
      <c r="C410" s="5" t="s">
        <v>184</v>
      </c>
      <c r="D410" s="5" t="s">
        <v>227</v>
      </c>
      <c r="E410" s="12">
        <v>45859.588425925926</v>
      </c>
      <c r="F410" s="14">
        <v>294000.0</v>
      </c>
      <c r="G410" s="14">
        <v>9000.0</v>
      </c>
      <c r="H410" s="6">
        <v>4.0</v>
      </c>
      <c r="I410" s="14">
        <v>1176000.0</v>
      </c>
      <c r="J410" s="5" t="s">
        <v>1263</v>
      </c>
      <c r="K410" s="15">
        <f t="shared" si="1"/>
        <v>0</v>
      </c>
      <c r="L410" s="15">
        <f t="shared" si="2"/>
        <v>1176000</v>
      </c>
      <c r="M410" s="15">
        <f t="shared" si="3"/>
        <v>1185000</v>
      </c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8.0" customHeight="1">
      <c r="A411" s="5" t="s">
        <v>985</v>
      </c>
      <c r="B411" s="6">
        <v>2.0</v>
      </c>
      <c r="C411" s="5" t="s">
        <v>320</v>
      </c>
      <c r="D411" s="5" t="s">
        <v>321</v>
      </c>
      <c r="E411" s="12">
        <v>45859.588425925926</v>
      </c>
      <c r="F411" s="14">
        <v>180000.0</v>
      </c>
      <c r="G411" s="14">
        <v>7000.0</v>
      </c>
      <c r="H411" s="6">
        <v>3.0</v>
      </c>
      <c r="I411" s="14">
        <v>540000.0</v>
      </c>
      <c r="J411" s="5" t="s">
        <v>1264</v>
      </c>
      <c r="K411" s="15">
        <f t="shared" si="1"/>
        <v>0</v>
      </c>
      <c r="L411" s="15">
        <f t="shared" si="2"/>
        <v>540000</v>
      </c>
      <c r="M411" s="15">
        <f t="shared" si="3"/>
        <v>547000</v>
      </c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8.0" customHeight="1">
      <c r="A412" s="5" t="s">
        <v>985</v>
      </c>
      <c r="B412" s="6">
        <v>3.0</v>
      </c>
      <c r="C412" s="5" t="s">
        <v>198</v>
      </c>
      <c r="D412" s="5" t="s">
        <v>178</v>
      </c>
      <c r="E412" s="12">
        <v>45859.588425925926</v>
      </c>
      <c r="F412" s="14">
        <v>173000.0</v>
      </c>
      <c r="G412" s="14">
        <v>9000.0</v>
      </c>
      <c r="H412" s="6">
        <v>2.0</v>
      </c>
      <c r="I412" s="14">
        <v>346000.0</v>
      </c>
      <c r="J412" s="5" t="s">
        <v>1265</v>
      </c>
      <c r="K412" s="15">
        <f t="shared" si="1"/>
        <v>0</v>
      </c>
      <c r="L412" s="15">
        <f t="shared" si="2"/>
        <v>346000</v>
      </c>
      <c r="M412" s="15">
        <f t="shared" si="3"/>
        <v>355000</v>
      </c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8.0" customHeight="1">
      <c r="A413" s="5" t="s">
        <v>985</v>
      </c>
      <c r="B413" s="6">
        <v>4.0</v>
      </c>
      <c r="C413" s="5" t="s">
        <v>210</v>
      </c>
      <c r="D413" s="5" t="s">
        <v>589</v>
      </c>
      <c r="E413" s="12">
        <v>45859.588425925926</v>
      </c>
      <c r="F413" s="14">
        <v>95000.0</v>
      </c>
      <c r="G413" s="14">
        <v>6000.0</v>
      </c>
      <c r="H413" s="6">
        <v>2.0</v>
      </c>
      <c r="I413" s="14">
        <v>190000.0</v>
      </c>
      <c r="J413" s="5" t="s">
        <v>1266</v>
      </c>
      <c r="K413" s="15">
        <f t="shared" si="1"/>
        <v>0</v>
      </c>
      <c r="L413" s="15">
        <f t="shared" si="2"/>
        <v>190000</v>
      </c>
      <c r="M413" s="15">
        <f t="shared" si="3"/>
        <v>196000</v>
      </c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8.0" customHeight="1">
      <c r="A414" s="5" t="s">
        <v>987</v>
      </c>
      <c r="B414" s="6">
        <v>1.0</v>
      </c>
      <c r="C414" s="5" t="s">
        <v>545</v>
      </c>
      <c r="D414" s="5" t="s">
        <v>589</v>
      </c>
      <c r="E414" s="12">
        <v>45465.2090625</v>
      </c>
      <c r="F414" s="14">
        <v>260000.0</v>
      </c>
      <c r="G414" s="14">
        <v>8000.0</v>
      </c>
      <c r="H414" s="6">
        <v>1.0</v>
      </c>
      <c r="I414" s="14">
        <v>260000.0</v>
      </c>
      <c r="J414" s="5" t="s">
        <v>1267</v>
      </c>
      <c r="K414" s="15">
        <f t="shared" si="1"/>
        <v>0</v>
      </c>
      <c r="L414" s="15">
        <f t="shared" si="2"/>
        <v>260000</v>
      </c>
      <c r="M414" s="15">
        <f t="shared" si="3"/>
        <v>268000</v>
      </c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8.0" customHeight="1">
      <c r="A415" s="5" t="s">
        <v>988</v>
      </c>
      <c r="B415" s="6">
        <v>1.0</v>
      </c>
      <c r="C415" s="5" t="s">
        <v>507</v>
      </c>
      <c r="D415" s="5" t="s">
        <v>550</v>
      </c>
      <c r="E415" s="12">
        <v>45728.716898148145</v>
      </c>
      <c r="F415" s="14">
        <v>185000.0</v>
      </c>
      <c r="G415" s="14">
        <v>7000.0</v>
      </c>
      <c r="H415" s="6">
        <v>2.0</v>
      </c>
      <c r="I415" s="14">
        <v>370000.0</v>
      </c>
      <c r="J415" s="5" t="s">
        <v>1268</v>
      </c>
      <c r="K415" s="15">
        <f t="shared" si="1"/>
        <v>0</v>
      </c>
      <c r="L415" s="15">
        <f t="shared" si="2"/>
        <v>370000</v>
      </c>
      <c r="M415" s="15">
        <f t="shared" si="3"/>
        <v>377000</v>
      </c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8.0" customHeight="1">
      <c r="A416" s="5" t="s">
        <v>988</v>
      </c>
      <c r="B416" s="6">
        <v>2.0</v>
      </c>
      <c r="C416" s="5" t="s">
        <v>412</v>
      </c>
      <c r="D416" s="5" t="s">
        <v>707</v>
      </c>
      <c r="E416" s="12">
        <v>45728.716898148145</v>
      </c>
      <c r="F416" s="14">
        <v>140000.0</v>
      </c>
      <c r="G416" s="14">
        <v>7000.0</v>
      </c>
      <c r="H416" s="6">
        <v>1.0</v>
      </c>
      <c r="I416" s="14">
        <v>140000.0</v>
      </c>
      <c r="J416" s="5" t="s">
        <v>1269</v>
      </c>
      <c r="K416" s="15">
        <f t="shared" si="1"/>
        <v>0</v>
      </c>
      <c r="L416" s="15">
        <f t="shared" si="2"/>
        <v>140000</v>
      </c>
      <c r="M416" s="15">
        <f t="shared" si="3"/>
        <v>147000</v>
      </c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8.0" customHeight="1">
      <c r="A417" s="5" t="s">
        <v>990</v>
      </c>
      <c r="B417" s="6">
        <v>1.0</v>
      </c>
      <c r="C417" s="5" t="s">
        <v>331</v>
      </c>
      <c r="D417" s="5" t="s">
        <v>541</v>
      </c>
      <c r="E417" s="12">
        <v>45427.97020833333</v>
      </c>
      <c r="F417" s="14">
        <v>135000.0</v>
      </c>
      <c r="G417" s="14">
        <v>8000.0</v>
      </c>
      <c r="H417" s="6">
        <v>2.0</v>
      </c>
      <c r="I417" s="14">
        <v>270000.0</v>
      </c>
      <c r="J417" s="5" t="s">
        <v>1270</v>
      </c>
      <c r="K417" s="15">
        <f t="shared" si="1"/>
        <v>0</v>
      </c>
      <c r="L417" s="15">
        <f t="shared" si="2"/>
        <v>270000</v>
      </c>
      <c r="M417" s="15">
        <f t="shared" si="3"/>
        <v>278000</v>
      </c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8.0" customHeight="1">
      <c r="A418" s="5" t="s">
        <v>990</v>
      </c>
      <c r="B418" s="6">
        <v>2.0</v>
      </c>
      <c r="C418" s="5" t="s">
        <v>80</v>
      </c>
      <c r="D418" s="5" t="s">
        <v>81</v>
      </c>
      <c r="E418" s="12">
        <v>45427.97020833333</v>
      </c>
      <c r="F418" s="14">
        <v>399000.0</v>
      </c>
      <c r="G418" s="14">
        <v>12000.0</v>
      </c>
      <c r="H418" s="6">
        <v>3.0</v>
      </c>
      <c r="I418" s="14">
        <v>1197000.0</v>
      </c>
      <c r="J418" s="5" t="s">
        <v>1271</v>
      </c>
      <c r="K418" s="15">
        <f t="shared" si="1"/>
        <v>0</v>
      </c>
      <c r="L418" s="15">
        <f t="shared" si="2"/>
        <v>1197000</v>
      </c>
      <c r="M418" s="15">
        <f t="shared" si="3"/>
        <v>1209000</v>
      </c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8.0" customHeight="1">
      <c r="A419" s="5" t="s">
        <v>990</v>
      </c>
      <c r="B419" s="6">
        <v>3.0</v>
      </c>
      <c r="C419" s="5" t="s">
        <v>43</v>
      </c>
      <c r="D419" s="5" t="s">
        <v>321</v>
      </c>
      <c r="E419" s="12">
        <v>45427.97020833333</v>
      </c>
      <c r="F419" s="14">
        <v>405000.0</v>
      </c>
      <c r="G419" s="14">
        <v>16000.0</v>
      </c>
      <c r="H419" s="6">
        <v>3.0</v>
      </c>
      <c r="I419" s="14">
        <v>1215000.0</v>
      </c>
      <c r="J419" s="5" t="s">
        <v>1272</v>
      </c>
      <c r="K419" s="15">
        <f t="shared" si="1"/>
        <v>0</v>
      </c>
      <c r="L419" s="15">
        <f t="shared" si="2"/>
        <v>1215000</v>
      </c>
      <c r="M419" s="15">
        <f t="shared" si="3"/>
        <v>1231000</v>
      </c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8.0" customHeight="1">
      <c r="A420" s="5" t="s">
        <v>990</v>
      </c>
      <c r="B420" s="6">
        <v>4.0</v>
      </c>
      <c r="C420" s="5" t="s">
        <v>336</v>
      </c>
      <c r="D420" s="5" t="s">
        <v>337</v>
      </c>
      <c r="E420" s="12">
        <v>45427.97020833333</v>
      </c>
      <c r="F420" s="14">
        <v>294000.0</v>
      </c>
      <c r="G420" s="14">
        <v>15000.0</v>
      </c>
      <c r="H420" s="6">
        <v>1.0</v>
      </c>
      <c r="I420" s="14">
        <v>294000.0</v>
      </c>
      <c r="J420" s="5" t="s">
        <v>1273</v>
      </c>
      <c r="K420" s="15">
        <f t="shared" si="1"/>
        <v>0</v>
      </c>
      <c r="L420" s="15">
        <f t="shared" si="2"/>
        <v>294000</v>
      </c>
      <c r="M420" s="15">
        <f t="shared" si="3"/>
        <v>309000</v>
      </c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8.0" customHeight="1">
      <c r="A421" s="5" t="s">
        <v>991</v>
      </c>
      <c r="B421" s="6">
        <v>1.0</v>
      </c>
      <c r="C421" s="5" t="s">
        <v>402</v>
      </c>
      <c r="D421" s="5" t="s">
        <v>615</v>
      </c>
      <c r="E421" s="12">
        <v>46003.08560185185</v>
      </c>
      <c r="F421" s="14">
        <v>420000.0</v>
      </c>
      <c r="G421" s="14">
        <v>25000.0</v>
      </c>
      <c r="H421" s="6">
        <v>2.0</v>
      </c>
      <c r="I421" s="14">
        <v>840000.0</v>
      </c>
      <c r="J421" s="5" t="s">
        <v>1274</v>
      </c>
      <c r="K421" s="15">
        <f t="shared" si="1"/>
        <v>0</v>
      </c>
      <c r="L421" s="15">
        <f t="shared" si="2"/>
        <v>840000</v>
      </c>
      <c r="M421" s="15">
        <f t="shared" si="3"/>
        <v>865000</v>
      </c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8.0" customHeight="1">
      <c r="A422" s="5" t="s">
        <v>991</v>
      </c>
      <c r="B422" s="6">
        <v>2.0</v>
      </c>
      <c r="C422" s="5" t="s">
        <v>222</v>
      </c>
      <c r="D422" s="5" t="s">
        <v>414</v>
      </c>
      <c r="E422" s="12">
        <v>46003.08560185185</v>
      </c>
      <c r="F422" s="14">
        <v>285000.0</v>
      </c>
      <c r="G422" s="14">
        <v>9000.0</v>
      </c>
      <c r="H422" s="6">
        <v>4.0</v>
      </c>
      <c r="I422" s="14">
        <v>1140000.0</v>
      </c>
      <c r="J422" s="5" t="s">
        <v>1275</v>
      </c>
      <c r="K422" s="15">
        <f t="shared" si="1"/>
        <v>0</v>
      </c>
      <c r="L422" s="15">
        <f t="shared" si="2"/>
        <v>1140000</v>
      </c>
      <c r="M422" s="15">
        <f t="shared" si="3"/>
        <v>1149000</v>
      </c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8.0" customHeight="1">
      <c r="A423" s="5" t="s">
        <v>991</v>
      </c>
      <c r="B423" s="6">
        <v>3.0</v>
      </c>
      <c r="C423" s="5" t="s">
        <v>163</v>
      </c>
      <c r="D423" s="5" t="s">
        <v>550</v>
      </c>
      <c r="E423" s="12">
        <v>46003.08560185185</v>
      </c>
      <c r="F423" s="14">
        <v>320000.0</v>
      </c>
      <c r="G423" s="14">
        <v>13000.0</v>
      </c>
      <c r="H423" s="6">
        <v>2.0</v>
      </c>
      <c r="I423" s="14">
        <v>640000.0</v>
      </c>
      <c r="J423" s="5" t="s">
        <v>1276</v>
      </c>
      <c r="K423" s="15">
        <f t="shared" si="1"/>
        <v>0</v>
      </c>
      <c r="L423" s="15">
        <f t="shared" si="2"/>
        <v>640000</v>
      </c>
      <c r="M423" s="15">
        <f t="shared" si="3"/>
        <v>653000</v>
      </c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8.0" customHeight="1">
      <c r="A424" s="5" t="s">
        <v>991</v>
      </c>
      <c r="B424" s="6">
        <v>4.0</v>
      </c>
      <c r="C424" s="5" t="s">
        <v>296</v>
      </c>
      <c r="D424" s="5" t="s">
        <v>879</v>
      </c>
      <c r="E424" s="12">
        <v>46003.08560185185</v>
      </c>
      <c r="F424" s="14">
        <v>171000.0</v>
      </c>
      <c r="G424" s="14">
        <v>9000.0</v>
      </c>
      <c r="H424" s="6">
        <v>4.0</v>
      </c>
      <c r="I424" s="14">
        <v>684000.0</v>
      </c>
      <c r="J424" s="5" t="s">
        <v>1277</v>
      </c>
      <c r="K424" s="15">
        <f t="shared" si="1"/>
        <v>0</v>
      </c>
      <c r="L424" s="15">
        <f t="shared" si="2"/>
        <v>684000</v>
      </c>
      <c r="M424" s="15">
        <f t="shared" si="3"/>
        <v>693000</v>
      </c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8.0" customHeight="1">
      <c r="A425" s="5" t="s">
        <v>993</v>
      </c>
      <c r="B425" s="6">
        <v>1.0</v>
      </c>
      <c r="C425" s="5" t="s">
        <v>122</v>
      </c>
      <c r="D425" s="5" t="s">
        <v>156</v>
      </c>
      <c r="E425" s="12">
        <v>45668.77334490741</v>
      </c>
      <c r="F425" s="14">
        <v>390000.0</v>
      </c>
      <c r="G425" s="14">
        <v>23000.0</v>
      </c>
      <c r="H425" s="6">
        <v>2.0</v>
      </c>
      <c r="I425" s="14">
        <v>780000.0</v>
      </c>
      <c r="J425" s="5" t="s">
        <v>1278</v>
      </c>
      <c r="K425" s="15">
        <f t="shared" si="1"/>
        <v>0</v>
      </c>
      <c r="L425" s="15">
        <f t="shared" si="2"/>
        <v>780000</v>
      </c>
      <c r="M425" s="15">
        <f t="shared" si="3"/>
        <v>803000</v>
      </c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8.0" customHeight="1">
      <c r="A426" s="5" t="s">
        <v>993</v>
      </c>
      <c r="B426" s="6">
        <v>2.0</v>
      </c>
      <c r="C426" s="5" t="s">
        <v>356</v>
      </c>
      <c r="D426" s="5" t="s">
        <v>478</v>
      </c>
      <c r="E426" s="12">
        <v>45668.77334490741</v>
      </c>
      <c r="F426" s="14">
        <v>152000.0</v>
      </c>
      <c r="G426" s="14">
        <v>5000.0</v>
      </c>
      <c r="H426" s="6">
        <v>1.0</v>
      </c>
      <c r="I426" s="14">
        <v>152000.0</v>
      </c>
      <c r="J426" s="5" t="s">
        <v>1279</v>
      </c>
      <c r="K426" s="15">
        <f t="shared" si="1"/>
        <v>0</v>
      </c>
      <c r="L426" s="15">
        <f t="shared" si="2"/>
        <v>152000</v>
      </c>
      <c r="M426" s="15">
        <f t="shared" si="3"/>
        <v>157000</v>
      </c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8.0" customHeight="1">
      <c r="A427" s="5" t="s">
        <v>993</v>
      </c>
      <c r="B427" s="6">
        <v>3.0</v>
      </c>
      <c r="C427" s="5" t="s">
        <v>177</v>
      </c>
      <c r="D427" s="5" t="s">
        <v>602</v>
      </c>
      <c r="E427" s="12">
        <v>45668.77334490741</v>
      </c>
      <c r="F427" s="14">
        <v>145000.0</v>
      </c>
      <c r="G427" s="14">
        <v>6000.0</v>
      </c>
      <c r="H427" s="6">
        <v>2.0</v>
      </c>
      <c r="I427" s="14">
        <v>290000.0</v>
      </c>
      <c r="J427" s="5" t="s">
        <v>1280</v>
      </c>
      <c r="K427" s="15">
        <f t="shared" si="1"/>
        <v>0</v>
      </c>
      <c r="L427" s="15">
        <f t="shared" si="2"/>
        <v>290000</v>
      </c>
      <c r="M427" s="15">
        <f t="shared" si="3"/>
        <v>296000</v>
      </c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8.0" customHeight="1">
      <c r="A428" s="5" t="s">
        <v>993</v>
      </c>
      <c r="B428" s="6">
        <v>4.0</v>
      </c>
      <c r="C428" s="5" t="s">
        <v>112</v>
      </c>
      <c r="D428" s="5" t="s">
        <v>304</v>
      </c>
      <c r="E428" s="12">
        <v>45668.77334490741</v>
      </c>
      <c r="F428" s="14">
        <v>220000.0</v>
      </c>
      <c r="G428" s="14">
        <v>11000.0</v>
      </c>
      <c r="H428" s="6">
        <v>2.0</v>
      </c>
      <c r="I428" s="14">
        <v>440000.0</v>
      </c>
      <c r="J428" s="5" t="s">
        <v>1281</v>
      </c>
      <c r="K428" s="15">
        <f t="shared" si="1"/>
        <v>0</v>
      </c>
      <c r="L428" s="15">
        <f t="shared" si="2"/>
        <v>440000</v>
      </c>
      <c r="M428" s="15">
        <f t="shared" si="3"/>
        <v>451000</v>
      </c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8.0" customHeight="1">
      <c r="A429" s="5" t="s">
        <v>995</v>
      </c>
      <c r="B429" s="6">
        <v>1.0</v>
      </c>
      <c r="C429" s="5" t="s">
        <v>80</v>
      </c>
      <c r="D429" s="5" t="s">
        <v>81</v>
      </c>
      <c r="E429" s="12">
        <v>45588.60061342592</v>
      </c>
      <c r="F429" s="14">
        <v>378000.0</v>
      </c>
      <c r="G429" s="14">
        <v>23000.0</v>
      </c>
      <c r="H429" s="6">
        <v>2.0</v>
      </c>
      <c r="I429" s="14">
        <v>756000.0</v>
      </c>
      <c r="J429" s="5" t="s">
        <v>1282</v>
      </c>
      <c r="K429" s="15">
        <f t="shared" si="1"/>
        <v>0</v>
      </c>
      <c r="L429" s="15">
        <f t="shared" si="2"/>
        <v>756000</v>
      </c>
      <c r="M429" s="15">
        <f t="shared" si="3"/>
        <v>779000</v>
      </c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8.0" customHeight="1">
      <c r="A430" s="5" t="s">
        <v>995</v>
      </c>
      <c r="B430" s="6">
        <v>2.0</v>
      </c>
      <c r="C430" s="5" t="s">
        <v>496</v>
      </c>
      <c r="D430" s="5" t="s">
        <v>397</v>
      </c>
      <c r="E430" s="12">
        <v>45588.60061342592</v>
      </c>
      <c r="F430" s="14">
        <v>220000.0</v>
      </c>
      <c r="G430" s="14">
        <v>7000.0</v>
      </c>
      <c r="H430" s="6">
        <v>1.0</v>
      </c>
      <c r="I430" s="14">
        <v>220000.0</v>
      </c>
      <c r="J430" s="5" t="s">
        <v>1283</v>
      </c>
      <c r="K430" s="15">
        <f t="shared" si="1"/>
        <v>0</v>
      </c>
      <c r="L430" s="15">
        <f t="shared" si="2"/>
        <v>220000</v>
      </c>
      <c r="M430" s="15">
        <f t="shared" si="3"/>
        <v>227000</v>
      </c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8.0" customHeight="1">
      <c r="A431" s="5" t="s">
        <v>995</v>
      </c>
      <c r="B431" s="6">
        <v>3.0</v>
      </c>
      <c r="C431" s="5" t="s">
        <v>320</v>
      </c>
      <c r="D431" s="5" t="s">
        <v>321</v>
      </c>
      <c r="E431" s="12">
        <v>45588.60061342592</v>
      </c>
      <c r="F431" s="14">
        <v>180000.0</v>
      </c>
      <c r="G431" s="14">
        <v>7000.0</v>
      </c>
      <c r="H431" s="6">
        <v>4.0</v>
      </c>
      <c r="I431" s="14">
        <v>720000.0</v>
      </c>
      <c r="J431" s="5" t="s">
        <v>1284</v>
      </c>
      <c r="K431" s="15">
        <f t="shared" si="1"/>
        <v>0</v>
      </c>
      <c r="L431" s="15">
        <f t="shared" si="2"/>
        <v>720000</v>
      </c>
      <c r="M431" s="15">
        <f t="shared" si="3"/>
        <v>727000</v>
      </c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8.0" customHeight="1">
      <c r="A432" s="5" t="s">
        <v>996</v>
      </c>
      <c r="B432" s="6">
        <v>1.0</v>
      </c>
      <c r="C432" s="5" t="s">
        <v>465</v>
      </c>
      <c r="D432" s="5" t="s">
        <v>304</v>
      </c>
      <c r="E432" s="12">
        <v>45780.88018518518</v>
      </c>
      <c r="F432" s="14">
        <v>131000.0</v>
      </c>
      <c r="G432" s="14">
        <v>7000.0</v>
      </c>
      <c r="H432" s="6">
        <v>2.0</v>
      </c>
      <c r="I432" s="14">
        <v>262000.0</v>
      </c>
      <c r="J432" s="5" t="s">
        <v>1285</v>
      </c>
      <c r="K432" s="15">
        <f t="shared" si="1"/>
        <v>0</v>
      </c>
      <c r="L432" s="15">
        <f t="shared" si="2"/>
        <v>262000</v>
      </c>
      <c r="M432" s="15">
        <f t="shared" si="3"/>
        <v>269000</v>
      </c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8.0" customHeight="1">
      <c r="A433" s="5" t="s">
        <v>996</v>
      </c>
      <c r="B433" s="6">
        <v>2.0</v>
      </c>
      <c r="C433" s="5" t="s">
        <v>527</v>
      </c>
      <c r="D433" s="5" t="s">
        <v>227</v>
      </c>
      <c r="E433" s="12">
        <v>45780.88018518518</v>
      </c>
      <c r="F433" s="14">
        <v>147000.0</v>
      </c>
      <c r="G433" s="14">
        <v>9000.0</v>
      </c>
      <c r="H433" s="6">
        <v>3.0</v>
      </c>
      <c r="I433" s="14">
        <v>441000.0</v>
      </c>
      <c r="J433" s="5" t="s">
        <v>1286</v>
      </c>
      <c r="K433" s="15">
        <f t="shared" si="1"/>
        <v>0</v>
      </c>
      <c r="L433" s="15">
        <f t="shared" si="2"/>
        <v>441000</v>
      </c>
      <c r="M433" s="15">
        <f t="shared" si="3"/>
        <v>450000</v>
      </c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8.0" customHeight="1">
      <c r="A434" s="5" t="s">
        <v>996</v>
      </c>
      <c r="B434" s="6">
        <v>3.0</v>
      </c>
      <c r="C434" s="5" t="s">
        <v>376</v>
      </c>
      <c r="D434" s="5" t="s">
        <v>800</v>
      </c>
      <c r="E434" s="12">
        <v>45780.88018518518</v>
      </c>
      <c r="F434" s="14">
        <v>168000.0</v>
      </c>
      <c r="G434" s="14">
        <v>5000.0</v>
      </c>
      <c r="H434" s="6">
        <v>1.0</v>
      </c>
      <c r="I434" s="14">
        <v>168000.0</v>
      </c>
      <c r="J434" s="5" t="s">
        <v>1287</v>
      </c>
      <c r="K434" s="15">
        <f t="shared" si="1"/>
        <v>0</v>
      </c>
      <c r="L434" s="15">
        <f t="shared" si="2"/>
        <v>168000</v>
      </c>
      <c r="M434" s="15">
        <f t="shared" si="3"/>
        <v>173000</v>
      </c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8.0" customHeight="1">
      <c r="A435" s="5" t="s">
        <v>998</v>
      </c>
      <c r="B435" s="6">
        <v>1.0</v>
      </c>
      <c r="C435" s="5" t="s">
        <v>264</v>
      </c>
      <c r="D435" s="5" t="s">
        <v>266</v>
      </c>
      <c r="E435" s="12">
        <v>45719.454305555555</v>
      </c>
      <c r="F435" s="14">
        <v>290000.0</v>
      </c>
      <c r="G435" s="14">
        <v>12000.0</v>
      </c>
      <c r="H435" s="6">
        <v>2.0</v>
      </c>
      <c r="I435" s="14">
        <v>580000.0</v>
      </c>
      <c r="J435" s="5" t="s">
        <v>1288</v>
      </c>
      <c r="K435" s="15">
        <f t="shared" si="1"/>
        <v>0</v>
      </c>
      <c r="L435" s="15">
        <f t="shared" si="2"/>
        <v>580000</v>
      </c>
      <c r="M435" s="15">
        <f t="shared" si="3"/>
        <v>592000</v>
      </c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8.0" customHeight="1">
      <c r="A436" s="5" t="s">
        <v>998</v>
      </c>
      <c r="B436" s="6">
        <v>2.0</v>
      </c>
      <c r="C436" s="5" t="s">
        <v>496</v>
      </c>
      <c r="D436" s="5" t="s">
        <v>397</v>
      </c>
      <c r="E436" s="12">
        <v>45719.454305555555</v>
      </c>
      <c r="F436" s="14">
        <v>198000.0</v>
      </c>
      <c r="G436" s="14">
        <v>10000.0</v>
      </c>
      <c r="H436" s="6">
        <v>2.0</v>
      </c>
      <c r="I436" s="14">
        <v>396000.0</v>
      </c>
      <c r="J436" s="5" t="s">
        <v>1289</v>
      </c>
      <c r="K436" s="15">
        <f t="shared" si="1"/>
        <v>0</v>
      </c>
      <c r="L436" s="15">
        <f t="shared" si="2"/>
        <v>396000</v>
      </c>
      <c r="M436" s="15">
        <f t="shared" si="3"/>
        <v>406000</v>
      </c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8.0" customHeight="1">
      <c r="A437" s="5" t="s">
        <v>1000</v>
      </c>
      <c r="B437" s="6">
        <v>1.0</v>
      </c>
      <c r="C437" s="5" t="s">
        <v>189</v>
      </c>
      <c r="D437" s="5" t="s">
        <v>191</v>
      </c>
      <c r="E437" s="12">
        <v>45900.87721064815</v>
      </c>
      <c r="F437" s="14">
        <v>350000.0</v>
      </c>
      <c r="G437" s="14">
        <v>21000.0</v>
      </c>
      <c r="H437" s="6">
        <v>3.0</v>
      </c>
      <c r="I437" s="14">
        <v>1050000.0</v>
      </c>
      <c r="J437" s="5" t="s">
        <v>1290</v>
      </c>
      <c r="K437" s="15">
        <f t="shared" si="1"/>
        <v>0</v>
      </c>
      <c r="L437" s="15">
        <f t="shared" si="2"/>
        <v>1050000</v>
      </c>
      <c r="M437" s="15">
        <f t="shared" si="3"/>
        <v>1071000</v>
      </c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8.0" customHeight="1">
      <c r="A438" s="5" t="s">
        <v>1000</v>
      </c>
      <c r="B438" s="6">
        <v>2.0</v>
      </c>
      <c r="C438" s="5" t="s">
        <v>222</v>
      </c>
      <c r="D438" s="5" t="s">
        <v>414</v>
      </c>
      <c r="E438" s="12">
        <v>45900.87721064815</v>
      </c>
      <c r="F438" s="14">
        <v>285000.0</v>
      </c>
      <c r="G438" s="14">
        <v>9000.0</v>
      </c>
      <c r="H438" s="6">
        <v>4.0</v>
      </c>
      <c r="I438" s="14">
        <v>1140000.0</v>
      </c>
      <c r="J438" s="5" t="s">
        <v>1291</v>
      </c>
      <c r="K438" s="15">
        <f t="shared" si="1"/>
        <v>0</v>
      </c>
      <c r="L438" s="15">
        <f t="shared" si="2"/>
        <v>1140000</v>
      </c>
      <c r="M438" s="15">
        <f t="shared" si="3"/>
        <v>1149000</v>
      </c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8.0" customHeight="1">
      <c r="A439" s="5" t="s">
        <v>1000</v>
      </c>
      <c r="B439" s="6">
        <v>3.0</v>
      </c>
      <c r="C439" s="5" t="s">
        <v>320</v>
      </c>
      <c r="D439" s="5" t="s">
        <v>321</v>
      </c>
      <c r="E439" s="12">
        <v>45900.87721064815</v>
      </c>
      <c r="F439" s="14">
        <v>180000.0</v>
      </c>
      <c r="G439" s="14">
        <v>7000.0</v>
      </c>
      <c r="H439" s="6">
        <v>1.0</v>
      </c>
      <c r="I439" s="14">
        <v>180000.0</v>
      </c>
      <c r="J439" s="5" t="s">
        <v>1292</v>
      </c>
      <c r="K439" s="15">
        <f t="shared" si="1"/>
        <v>0</v>
      </c>
      <c r="L439" s="15">
        <f t="shared" si="2"/>
        <v>180000</v>
      </c>
      <c r="M439" s="15">
        <f t="shared" si="3"/>
        <v>187000</v>
      </c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8.0" customHeight="1">
      <c r="A440" s="5" t="s">
        <v>1001</v>
      </c>
      <c r="B440" s="6">
        <v>1.0</v>
      </c>
      <c r="C440" s="5" t="s">
        <v>296</v>
      </c>
      <c r="D440" s="5" t="s">
        <v>879</v>
      </c>
      <c r="E440" s="12">
        <v>45780.62074074074</v>
      </c>
      <c r="F440" s="14">
        <v>189000.0</v>
      </c>
      <c r="G440" s="14">
        <v>9000.0</v>
      </c>
      <c r="H440" s="6">
        <v>4.0</v>
      </c>
      <c r="I440" s="14">
        <v>756000.0</v>
      </c>
      <c r="J440" s="5" t="s">
        <v>1293</v>
      </c>
      <c r="K440" s="15">
        <f t="shared" si="1"/>
        <v>0</v>
      </c>
      <c r="L440" s="15">
        <f t="shared" si="2"/>
        <v>756000</v>
      </c>
      <c r="M440" s="15">
        <f t="shared" si="3"/>
        <v>765000</v>
      </c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8.0" customHeight="1">
      <c r="A441" s="5" t="s">
        <v>1001</v>
      </c>
      <c r="B441" s="6">
        <v>2.0</v>
      </c>
      <c r="C441" s="5" t="s">
        <v>189</v>
      </c>
      <c r="D441" s="5" t="s">
        <v>191</v>
      </c>
      <c r="E441" s="12">
        <v>45780.62074074074</v>
      </c>
      <c r="F441" s="14">
        <v>333000.0</v>
      </c>
      <c r="G441" s="14">
        <v>20000.0</v>
      </c>
      <c r="H441" s="6">
        <v>2.0</v>
      </c>
      <c r="I441" s="14">
        <v>666000.0</v>
      </c>
      <c r="J441" s="5" t="s">
        <v>1294</v>
      </c>
      <c r="K441" s="15">
        <f t="shared" si="1"/>
        <v>0</v>
      </c>
      <c r="L441" s="15">
        <f t="shared" si="2"/>
        <v>666000</v>
      </c>
      <c r="M441" s="15">
        <f t="shared" si="3"/>
        <v>686000</v>
      </c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8.0" customHeight="1">
      <c r="A442" s="5" t="s">
        <v>1001</v>
      </c>
      <c r="B442" s="6">
        <v>3.0</v>
      </c>
      <c r="C442" s="5" t="s">
        <v>527</v>
      </c>
      <c r="D442" s="5" t="s">
        <v>227</v>
      </c>
      <c r="E442" s="12">
        <v>45780.62074074074</v>
      </c>
      <c r="F442" s="14">
        <v>155000.0</v>
      </c>
      <c r="G442" s="14">
        <v>5000.0</v>
      </c>
      <c r="H442" s="6">
        <v>3.0</v>
      </c>
      <c r="I442" s="14">
        <v>465000.0</v>
      </c>
      <c r="J442" s="5" t="s">
        <v>1295</v>
      </c>
      <c r="K442" s="15">
        <f t="shared" si="1"/>
        <v>0</v>
      </c>
      <c r="L442" s="15">
        <f t="shared" si="2"/>
        <v>465000</v>
      </c>
      <c r="M442" s="15">
        <f t="shared" si="3"/>
        <v>470000</v>
      </c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8.0" customHeight="1">
      <c r="A443" s="5" t="s">
        <v>1003</v>
      </c>
      <c r="B443" s="6">
        <v>1.0</v>
      </c>
      <c r="C443" s="5" t="s">
        <v>210</v>
      </c>
      <c r="D443" s="5" t="s">
        <v>589</v>
      </c>
      <c r="E443" s="12">
        <v>46052.047164351854</v>
      </c>
      <c r="F443" s="14">
        <v>95000.0</v>
      </c>
      <c r="G443" s="14">
        <v>4000.0</v>
      </c>
      <c r="H443" s="6">
        <v>2.0</v>
      </c>
      <c r="I443" s="14">
        <v>190000.0</v>
      </c>
      <c r="J443" s="5" t="s">
        <v>1296</v>
      </c>
      <c r="K443" s="15">
        <f t="shared" si="1"/>
        <v>0</v>
      </c>
      <c r="L443" s="15">
        <f t="shared" si="2"/>
        <v>190000</v>
      </c>
      <c r="M443" s="15">
        <f t="shared" si="3"/>
        <v>194000</v>
      </c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8.0" customHeight="1">
      <c r="A444" s="5" t="s">
        <v>1003</v>
      </c>
      <c r="B444" s="6">
        <v>2.0</v>
      </c>
      <c r="C444" s="5" t="s">
        <v>222</v>
      </c>
      <c r="D444" s="5" t="s">
        <v>414</v>
      </c>
      <c r="E444" s="12">
        <v>46052.047164351854</v>
      </c>
      <c r="F444" s="14">
        <v>257000.0</v>
      </c>
      <c r="G444" s="14">
        <v>13000.0</v>
      </c>
      <c r="H444" s="6">
        <v>4.0</v>
      </c>
      <c r="I444" s="14">
        <v>1028000.0</v>
      </c>
      <c r="J444" s="5" t="s">
        <v>1297</v>
      </c>
      <c r="K444" s="15">
        <f t="shared" si="1"/>
        <v>0</v>
      </c>
      <c r="L444" s="15">
        <f t="shared" si="2"/>
        <v>1028000</v>
      </c>
      <c r="M444" s="15">
        <f t="shared" si="3"/>
        <v>1041000</v>
      </c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8.0" customHeight="1">
      <c r="A445" s="5" t="s">
        <v>1003</v>
      </c>
      <c r="B445" s="6">
        <v>3.0</v>
      </c>
      <c r="C445" s="5" t="s">
        <v>296</v>
      </c>
      <c r="D445" s="5" t="s">
        <v>879</v>
      </c>
      <c r="E445" s="12">
        <v>46052.047164351854</v>
      </c>
      <c r="F445" s="14">
        <v>171000.0</v>
      </c>
      <c r="G445" s="14">
        <v>10000.0</v>
      </c>
      <c r="H445" s="6">
        <v>2.0</v>
      </c>
      <c r="I445" s="14">
        <v>342000.0</v>
      </c>
      <c r="J445" s="5" t="s">
        <v>1298</v>
      </c>
      <c r="K445" s="15">
        <f t="shared" si="1"/>
        <v>0</v>
      </c>
      <c r="L445" s="15">
        <f t="shared" si="2"/>
        <v>342000</v>
      </c>
      <c r="M445" s="15">
        <f t="shared" si="3"/>
        <v>352000</v>
      </c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8.0" customHeight="1">
      <c r="A446" s="5" t="s">
        <v>1004</v>
      </c>
      <c r="B446" s="6">
        <v>1.0</v>
      </c>
      <c r="C446" s="5" t="s">
        <v>402</v>
      </c>
      <c r="D446" s="5" t="s">
        <v>615</v>
      </c>
      <c r="E446" s="12">
        <v>46215.17986111111</v>
      </c>
      <c r="F446" s="14">
        <v>441000.0</v>
      </c>
      <c r="G446" s="14">
        <v>13000.0</v>
      </c>
      <c r="H446" s="6">
        <v>4.0</v>
      </c>
      <c r="I446" s="14">
        <v>1764000.0</v>
      </c>
      <c r="J446" s="5" t="s">
        <v>1299</v>
      </c>
      <c r="K446" s="15">
        <f t="shared" si="1"/>
        <v>0</v>
      </c>
      <c r="L446" s="15">
        <f t="shared" si="2"/>
        <v>1764000</v>
      </c>
      <c r="M446" s="15">
        <f t="shared" si="3"/>
        <v>1777000</v>
      </c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8.0" customHeight="1">
      <c r="A447" s="5" t="s">
        <v>1006</v>
      </c>
      <c r="B447" s="6">
        <v>1.0</v>
      </c>
      <c r="C447" s="5" t="s">
        <v>465</v>
      </c>
      <c r="D447" s="5" t="s">
        <v>304</v>
      </c>
      <c r="E447" s="12">
        <v>46165.85832175926</v>
      </c>
      <c r="F447" s="14">
        <v>125000.0</v>
      </c>
      <c r="G447" s="14">
        <v>5000.0</v>
      </c>
      <c r="H447" s="6">
        <v>1.0</v>
      </c>
      <c r="I447" s="14">
        <v>125000.0</v>
      </c>
      <c r="J447" s="5" t="s">
        <v>1300</v>
      </c>
      <c r="K447" s="15">
        <f t="shared" si="1"/>
        <v>0</v>
      </c>
      <c r="L447" s="15">
        <f t="shared" si="2"/>
        <v>125000</v>
      </c>
      <c r="M447" s="15">
        <f t="shared" si="3"/>
        <v>130000</v>
      </c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8.0" customHeight="1">
      <c r="A448" s="5" t="s">
        <v>1006</v>
      </c>
      <c r="B448" s="6">
        <v>2.0</v>
      </c>
      <c r="C448" s="5" t="s">
        <v>331</v>
      </c>
      <c r="D448" s="5" t="s">
        <v>541</v>
      </c>
      <c r="E448" s="12">
        <v>46165.85832175926</v>
      </c>
      <c r="F448" s="14">
        <v>122000.0</v>
      </c>
      <c r="G448" s="14">
        <v>6000.0</v>
      </c>
      <c r="H448" s="6">
        <v>3.0</v>
      </c>
      <c r="I448" s="14">
        <v>366000.0</v>
      </c>
      <c r="J448" s="5" t="s">
        <v>1301</v>
      </c>
      <c r="K448" s="15">
        <f t="shared" si="1"/>
        <v>0</v>
      </c>
      <c r="L448" s="15">
        <f t="shared" si="2"/>
        <v>366000</v>
      </c>
      <c r="M448" s="15">
        <f t="shared" si="3"/>
        <v>372000</v>
      </c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8.0" customHeight="1">
      <c r="A449" s="5" t="s">
        <v>1008</v>
      </c>
      <c r="B449" s="6">
        <v>1.0</v>
      </c>
      <c r="C449" s="5" t="s">
        <v>376</v>
      </c>
      <c r="D449" s="5" t="s">
        <v>800</v>
      </c>
      <c r="E449" s="12">
        <v>45371.18173611111</v>
      </c>
      <c r="F449" s="14">
        <v>168000.0</v>
      </c>
      <c r="G449" s="14">
        <v>10000.0</v>
      </c>
      <c r="H449" s="6">
        <v>3.0</v>
      </c>
      <c r="I449" s="14">
        <v>504000.0</v>
      </c>
      <c r="J449" s="5" t="s">
        <v>1302</v>
      </c>
      <c r="K449" s="15">
        <f t="shared" si="1"/>
        <v>0</v>
      </c>
      <c r="L449" s="15">
        <f t="shared" si="2"/>
        <v>504000</v>
      </c>
      <c r="M449" s="15">
        <f t="shared" si="3"/>
        <v>514000</v>
      </c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8.0" customHeight="1">
      <c r="A450" s="5" t="s">
        <v>1008</v>
      </c>
      <c r="B450" s="6">
        <v>2.0</v>
      </c>
      <c r="C450" s="5" t="s">
        <v>234</v>
      </c>
      <c r="D450" s="5" t="s">
        <v>701</v>
      </c>
      <c r="E450" s="12">
        <v>45371.18173611111</v>
      </c>
      <c r="F450" s="14">
        <v>176000.0</v>
      </c>
      <c r="G450" s="14">
        <v>5000.0</v>
      </c>
      <c r="H450" s="6">
        <v>4.0</v>
      </c>
      <c r="I450" s="14">
        <v>704000.0</v>
      </c>
      <c r="J450" s="5" t="s">
        <v>1303</v>
      </c>
      <c r="K450" s="15">
        <f t="shared" si="1"/>
        <v>0</v>
      </c>
      <c r="L450" s="15">
        <f t="shared" si="2"/>
        <v>704000</v>
      </c>
      <c r="M450" s="15">
        <f t="shared" si="3"/>
        <v>709000</v>
      </c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8.0" customHeight="1">
      <c r="A451" s="5" t="s">
        <v>1008</v>
      </c>
      <c r="B451" s="6">
        <v>3.0</v>
      </c>
      <c r="C451" s="5" t="s">
        <v>43</v>
      </c>
      <c r="D451" s="5" t="s">
        <v>321</v>
      </c>
      <c r="E451" s="12">
        <v>45371.18173611111</v>
      </c>
      <c r="F451" s="14">
        <v>450000.0</v>
      </c>
      <c r="G451" s="14">
        <v>18000.0</v>
      </c>
      <c r="H451" s="6">
        <v>4.0</v>
      </c>
      <c r="I451" s="14">
        <v>1800000.0</v>
      </c>
      <c r="J451" s="5" t="s">
        <v>1304</v>
      </c>
      <c r="K451" s="15">
        <f t="shared" si="1"/>
        <v>0</v>
      </c>
      <c r="L451" s="15">
        <f t="shared" si="2"/>
        <v>1800000</v>
      </c>
      <c r="M451" s="15">
        <f t="shared" si="3"/>
        <v>1818000</v>
      </c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8.0" customHeight="1">
      <c r="A452" s="5" t="s">
        <v>1008</v>
      </c>
      <c r="B452" s="6">
        <v>4.0</v>
      </c>
      <c r="C452" s="5" t="s">
        <v>356</v>
      </c>
      <c r="D452" s="5" t="s">
        <v>478</v>
      </c>
      <c r="E452" s="12">
        <v>45371.18173611111</v>
      </c>
      <c r="F452" s="14">
        <v>131000.0</v>
      </c>
      <c r="G452" s="14">
        <v>7000.0</v>
      </c>
      <c r="H452" s="6">
        <v>4.0</v>
      </c>
      <c r="I452" s="14">
        <v>524000.0</v>
      </c>
      <c r="J452" s="5" t="s">
        <v>1305</v>
      </c>
      <c r="K452" s="15">
        <f t="shared" si="1"/>
        <v>0</v>
      </c>
      <c r="L452" s="15">
        <f t="shared" si="2"/>
        <v>524000</v>
      </c>
      <c r="M452" s="15">
        <f t="shared" si="3"/>
        <v>531000</v>
      </c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8.0" customHeight="1">
      <c r="A453" s="5" t="s">
        <v>1009</v>
      </c>
      <c r="B453" s="6">
        <v>1.0</v>
      </c>
      <c r="C453" s="5" t="s">
        <v>184</v>
      </c>
      <c r="D453" s="5" t="s">
        <v>227</v>
      </c>
      <c r="E453" s="12">
        <v>45590.74707175926</v>
      </c>
      <c r="F453" s="14">
        <v>252000.0</v>
      </c>
      <c r="G453" s="14">
        <v>15000.0</v>
      </c>
      <c r="H453" s="6">
        <v>1.0</v>
      </c>
      <c r="I453" s="14">
        <v>252000.0</v>
      </c>
      <c r="J453" s="5" t="s">
        <v>1306</v>
      </c>
      <c r="K453" s="15">
        <f t="shared" si="1"/>
        <v>0</v>
      </c>
      <c r="L453" s="15">
        <f t="shared" si="2"/>
        <v>252000</v>
      </c>
      <c r="M453" s="15">
        <f t="shared" si="3"/>
        <v>267000</v>
      </c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8.0" customHeight="1">
      <c r="A454" s="5" t="s">
        <v>1009</v>
      </c>
      <c r="B454" s="6">
        <v>2.0</v>
      </c>
      <c r="C454" s="5" t="s">
        <v>271</v>
      </c>
      <c r="D454" s="5" t="s">
        <v>770</v>
      </c>
      <c r="E454" s="12">
        <v>45590.74707175926</v>
      </c>
      <c r="F454" s="14">
        <v>175000.0</v>
      </c>
      <c r="G454" s="14">
        <v>5000.0</v>
      </c>
      <c r="H454" s="6">
        <v>4.0</v>
      </c>
      <c r="I454" s="14">
        <v>700000.0</v>
      </c>
      <c r="J454" s="5" t="s">
        <v>1307</v>
      </c>
      <c r="K454" s="15">
        <f t="shared" si="1"/>
        <v>0</v>
      </c>
      <c r="L454" s="15">
        <f t="shared" si="2"/>
        <v>700000</v>
      </c>
      <c r="M454" s="15">
        <f t="shared" si="3"/>
        <v>705000</v>
      </c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8.0" customHeight="1">
      <c r="A455" s="5" t="s">
        <v>1010</v>
      </c>
      <c r="B455" s="6">
        <v>1.0</v>
      </c>
      <c r="C455" s="5" t="s">
        <v>234</v>
      </c>
      <c r="D455" s="5" t="s">
        <v>701</v>
      </c>
      <c r="E455" s="12">
        <v>45305.8740625</v>
      </c>
      <c r="F455" s="14">
        <v>185000.0</v>
      </c>
      <c r="G455" s="14">
        <v>7000.0</v>
      </c>
      <c r="H455" s="6">
        <v>4.0</v>
      </c>
      <c r="I455" s="14">
        <v>740000.0</v>
      </c>
      <c r="J455" s="5" t="s">
        <v>1308</v>
      </c>
      <c r="K455" s="15">
        <f t="shared" si="1"/>
        <v>0</v>
      </c>
      <c r="L455" s="15">
        <f t="shared" si="2"/>
        <v>740000</v>
      </c>
      <c r="M455" s="15">
        <f t="shared" si="3"/>
        <v>747000</v>
      </c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8.0" customHeight="1">
      <c r="A456" s="5" t="s">
        <v>1010</v>
      </c>
      <c r="B456" s="6">
        <v>2.0</v>
      </c>
      <c r="C456" s="5" t="s">
        <v>545</v>
      </c>
      <c r="D456" s="5" t="s">
        <v>589</v>
      </c>
      <c r="E456" s="12">
        <v>45305.8740625</v>
      </c>
      <c r="F456" s="14">
        <v>260000.0</v>
      </c>
      <c r="G456" s="14">
        <v>13000.0</v>
      </c>
      <c r="H456" s="6">
        <v>3.0</v>
      </c>
      <c r="I456" s="14">
        <v>780000.0</v>
      </c>
      <c r="J456" s="5" t="s">
        <v>1309</v>
      </c>
      <c r="K456" s="15">
        <f t="shared" si="1"/>
        <v>0</v>
      </c>
      <c r="L456" s="15">
        <f t="shared" si="2"/>
        <v>780000</v>
      </c>
      <c r="M456" s="15">
        <f t="shared" si="3"/>
        <v>793000</v>
      </c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8.0" customHeight="1">
      <c r="A457" s="5" t="s">
        <v>1010</v>
      </c>
      <c r="B457" s="6">
        <v>3.0</v>
      </c>
      <c r="C457" s="5" t="s">
        <v>489</v>
      </c>
      <c r="D457" s="5" t="s">
        <v>445</v>
      </c>
      <c r="E457" s="12">
        <v>45305.8740625</v>
      </c>
      <c r="F457" s="14">
        <v>95000.0</v>
      </c>
      <c r="G457" s="14">
        <v>6000.0</v>
      </c>
      <c r="H457" s="6">
        <v>4.0</v>
      </c>
      <c r="I457" s="14">
        <v>380000.0</v>
      </c>
      <c r="J457" s="5" t="s">
        <v>1310</v>
      </c>
      <c r="K457" s="15">
        <f t="shared" si="1"/>
        <v>0</v>
      </c>
      <c r="L457" s="15">
        <f t="shared" si="2"/>
        <v>380000</v>
      </c>
      <c r="M457" s="15">
        <f t="shared" si="3"/>
        <v>386000</v>
      </c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8.0" customHeight="1">
      <c r="A458" s="5" t="s">
        <v>1010</v>
      </c>
      <c r="B458" s="6">
        <v>4.0</v>
      </c>
      <c r="C458" s="5" t="s">
        <v>402</v>
      </c>
      <c r="D458" s="5" t="s">
        <v>615</v>
      </c>
      <c r="E458" s="12">
        <v>45305.8740625</v>
      </c>
      <c r="F458" s="14">
        <v>441000.0</v>
      </c>
      <c r="G458" s="14">
        <v>13000.0</v>
      </c>
      <c r="H458" s="6">
        <v>3.0</v>
      </c>
      <c r="I458" s="14">
        <v>1323000.0</v>
      </c>
      <c r="J458" s="5" t="s">
        <v>1311</v>
      </c>
      <c r="K458" s="15">
        <f t="shared" si="1"/>
        <v>0</v>
      </c>
      <c r="L458" s="15">
        <f t="shared" si="2"/>
        <v>1323000</v>
      </c>
      <c r="M458" s="15">
        <f t="shared" si="3"/>
        <v>1336000</v>
      </c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8.0" customHeight="1">
      <c r="A459" s="5" t="s">
        <v>1012</v>
      </c>
      <c r="B459" s="6">
        <v>1.0</v>
      </c>
      <c r="C459" s="5" t="s">
        <v>136</v>
      </c>
      <c r="D459" s="5" t="s">
        <v>445</v>
      </c>
      <c r="E459" s="12">
        <v>45576.18072916667</v>
      </c>
      <c r="F459" s="14">
        <v>790000.0</v>
      </c>
      <c r="G459" s="14">
        <v>32000.0</v>
      </c>
      <c r="H459" s="6">
        <v>4.0</v>
      </c>
      <c r="I459" s="14">
        <v>3160000.0</v>
      </c>
      <c r="J459" s="5" t="s">
        <v>1312</v>
      </c>
      <c r="K459" s="15">
        <f t="shared" si="1"/>
        <v>0</v>
      </c>
      <c r="L459" s="15">
        <f t="shared" si="2"/>
        <v>3160000</v>
      </c>
      <c r="M459" s="15">
        <f t="shared" si="3"/>
        <v>3192000</v>
      </c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8.0" customHeight="1">
      <c r="A460" s="5" t="s">
        <v>1014</v>
      </c>
      <c r="B460" s="6">
        <v>1.0</v>
      </c>
      <c r="C460" s="5" t="s">
        <v>271</v>
      </c>
      <c r="D460" s="5" t="s">
        <v>770</v>
      </c>
      <c r="E460" s="12">
        <v>45348.50247685185</v>
      </c>
      <c r="F460" s="14">
        <v>158000.0</v>
      </c>
      <c r="G460" s="14">
        <v>8000.0</v>
      </c>
      <c r="H460" s="6">
        <v>1.0</v>
      </c>
      <c r="I460" s="14">
        <v>158000.0</v>
      </c>
      <c r="J460" s="5" t="s">
        <v>1313</v>
      </c>
      <c r="K460" s="15">
        <f t="shared" si="1"/>
        <v>0</v>
      </c>
      <c r="L460" s="15">
        <f t="shared" si="2"/>
        <v>158000</v>
      </c>
      <c r="M460" s="15">
        <f t="shared" si="3"/>
        <v>166000</v>
      </c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8.0" customHeight="1">
      <c r="A461" s="5" t="s">
        <v>1014</v>
      </c>
      <c r="B461" s="6">
        <v>2.0</v>
      </c>
      <c r="C461" s="5" t="s">
        <v>264</v>
      </c>
      <c r="D461" s="5" t="s">
        <v>266</v>
      </c>
      <c r="E461" s="12">
        <v>45348.50247685185</v>
      </c>
      <c r="F461" s="14">
        <v>261000.0</v>
      </c>
      <c r="G461" s="14">
        <v>16000.0</v>
      </c>
      <c r="H461" s="6">
        <v>4.0</v>
      </c>
      <c r="I461" s="14">
        <v>1044000.0</v>
      </c>
      <c r="J461" s="5" t="s">
        <v>1314</v>
      </c>
      <c r="K461" s="15">
        <f t="shared" si="1"/>
        <v>0</v>
      </c>
      <c r="L461" s="15">
        <f t="shared" si="2"/>
        <v>1044000</v>
      </c>
      <c r="M461" s="15">
        <f t="shared" si="3"/>
        <v>1060000</v>
      </c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8.0" customHeight="1">
      <c r="A462" s="5" t="s">
        <v>1015</v>
      </c>
      <c r="B462" s="6">
        <v>1.0</v>
      </c>
      <c r="C462" s="5" t="s">
        <v>402</v>
      </c>
      <c r="D462" s="5" t="s">
        <v>615</v>
      </c>
      <c r="E462" s="12">
        <v>46111.654270833336</v>
      </c>
      <c r="F462" s="14">
        <v>378000.0</v>
      </c>
      <c r="G462" s="14">
        <v>11000.0</v>
      </c>
      <c r="H462" s="6">
        <v>1.0</v>
      </c>
      <c r="I462" s="14">
        <v>378000.0</v>
      </c>
      <c r="J462" s="5" t="s">
        <v>1315</v>
      </c>
      <c r="K462" s="15">
        <f t="shared" si="1"/>
        <v>0</v>
      </c>
      <c r="L462" s="15">
        <f t="shared" si="2"/>
        <v>378000</v>
      </c>
      <c r="M462" s="15">
        <f t="shared" si="3"/>
        <v>389000</v>
      </c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8.0" customHeight="1">
      <c r="A463" s="5" t="s">
        <v>1015</v>
      </c>
      <c r="B463" s="6">
        <v>2.0</v>
      </c>
      <c r="C463" s="5" t="s">
        <v>122</v>
      </c>
      <c r="D463" s="5" t="s">
        <v>156</v>
      </c>
      <c r="E463" s="12">
        <v>46111.654270833336</v>
      </c>
      <c r="F463" s="14">
        <v>351000.0</v>
      </c>
      <c r="G463" s="14">
        <v>14000.0</v>
      </c>
      <c r="H463" s="6">
        <v>3.0</v>
      </c>
      <c r="I463" s="14">
        <v>1053000.0</v>
      </c>
      <c r="J463" s="5" t="s">
        <v>1316</v>
      </c>
      <c r="K463" s="15">
        <f t="shared" si="1"/>
        <v>0</v>
      </c>
      <c r="L463" s="15">
        <f t="shared" si="2"/>
        <v>1053000</v>
      </c>
      <c r="M463" s="15">
        <f t="shared" si="3"/>
        <v>1067000</v>
      </c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8.0" customHeight="1">
      <c r="A464" s="5" t="s">
        <v>1015</v>
      </c>
      <c r="B464" s="6">
        <v>3.0</v>
      </c>
      <c r="C464" s="5" t="s">
        <v>507</v>
      </c>
      <c r="D464" s="5" t="s">
        <v>550</v>
      </c>
      <c r="E464" s="12">
        <v>46111.654270833336</v>
      </c>
      <c r="F464" s="14">
        <v>176000.0</v>
      </c>
      <c r="G464" s="14">
        <v>9000.0</v>
      </c>
      <c r="H464" s="6">
        <v>2.0</v>
      </c>
      <c r="I464" s="14">
        <v>352000.0</v>
      </c>
      <c r="J464" s="5" t="s">
        <v>1317</v>
      </c>
      <c r="K464" s="15">
        <f t="shared" si="1"/>
        <v>0</v>
      </c>
      <c r="L464" s="15">
        <f t="shared" si="2"/>
        <v>352000</v>
      </c>
      <c r="M464" s="15">
        <f t="shared" si="3"/>
        <v>361000</v>
      </c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8.0" customHeight="1">
      <c r="A465" s="5" t="s">
        <v>1015</v>
      </c>
      <c r="B465" s="6">
        <v>4.0</v>
      </c>
      <c r="C465" s="5" t="s">
        <v>331</v>
      </c>
      <c r="D465" s="5" t="s">
        <v>541</v>
      </c>
      <c r="E465" s="12">
        <v>46111.654270833336</v>
      </c>
      <c r="F465" s="14">
        <v>135000.0</v>
      </c>
      <c r="G465" s="14">
        <v>8000.0</v>
      </c>
      <c r="H465" s="6">
        <v>1.0</v>
      </c>
      <c r="I465" s="14">
        <v>135000.0</v>
      </c>
      <c r="J465" s="5" t="s">
        <v>1318</v>
      </c>
      <c r="K465" s="15">
        <f t="shared" si="1"/>
        <v>0</v>
      </c>
      <c r="L465" s="15">
        <f t="shared" si="2"/>
        <v>135000</v>
      </c>
      <c r="M465" s="15">
        <f t="shared" si="3"/>
        <v>143000</v>
      </c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8.0" customHeight="1">
      <c r="A466" s="5" t="s">
        <v>1017</v>
      </c>
      <c r="B466" s="6">
        <v>1.0</v>
      </c>
      <c r="C466" s="5" t="s">
        <v>184</v>
      </c>
      <c r="D466" s="5" t="s">
        <v>227</v>
      </c>
      <c r="E466" s="12">
        <v>46091.92513888889</v>
      </c>
      <c r="F466" s="14">
        <v>280000.0</v>
      </c>
      <c r="G466" s="14">
        <v>8000.0</v>
      </c>
      <c r="H466" s="6">
        <v>3.0</v>
      </c>
      <c r="I466" s="14">
        <v>840000.0</v>
      </c>
      <c r="J466" s="5" t="s">
        <v>1319</v>
      </c>
      <c r="K466" s="15">
        <f t="shared" si="1"/>
        <v>0</v>
      </c>
      <c r="L466" s="15">
        <f t="shared" si="2"/>
        <v>840000</v>
      </c>
      <c r="M466" s="15">
        <f t="shared" si="3"/>
        <v>848000</v>
      </c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8.0" customHeight="1">
      <c r="A467" s="5" t="s">
        <v>1017</v>
      </c>
      <c r="B467" s="6">
        <v>2.0</v>
      </c>
      <c r="C467" s="5" t="s">
        <v>517</v>
      </c>
      <c r="D467" s="5" t="s">
        <v>602</v>
      </c>
      <c r="E467" s="12">
        <v>46091.92513888889</v>
      </c>
      <c r="F467" s="14">
        <v>120000.0</v>
      </c>
      <c r="G467" s="14">
        <v>5000.0</v>
      </c>
      <c r="H467" s="6">
        <v>4.0</v>
      </c>
      <c r="I467" s="14">
        <v>480000.0</v>
      </c>
      <c r="J467" s="5" t="s">
        <v>1327</v>
      </c>
      <c r="K467" s="15">
        <f t="shared" si="1"/>
        <v>0</v>
      </c>
      <c r="L467" s="15">
        <f t="shared" si="2"/>
        <v>480000</v>
      </c>
      <c r="M467" s="15">
        <f t="shared" si="3"/>
        <v>485000</v>
      </c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8.0" customHeight="1">
      <c r="A468" s="5" t="s">
        <v>1017</v>
      </c>
      <c r="B468" s="6">
        <v>3.0</v>
      </c>
      <c r="C468" s="5" t="s">
        <v>527</v>
      </c>
      <c r="D468" s="5" t="s">
        <v>227</v>
      </c>
      <c r="E468" s="12">
        <v>46091.92513888889</v>
      </c>
      <c r="F468" s="14">
        <v>147000.0</v>
      </c>
      <c r="G468" s="14">
        <v>7000.0</v>
      </c>
      <c r="H468" s="6">
        <v>4.0</v>
      </c>
      <c r="I468" s="14">
        <v>588000.0</v>
      </c>
      <c r="J468" s="5" t="s">
        <v>1328</v>
      </c>
      <c r="K468" s="15">
        <f t="shared" si="1"/>
        <v>0</v>
      </c>
      <c r="L468" s="15">
        <f t="shared" si="2"/>
        <v>588000</v>
      </c>
      <c r="M468" s="15">
        <f t="shared" si="3"/>
        <v>595000</v>
      </c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8.0" customHeight="1">
      <c r="A469" s="5" t="s">
        <v>1017</v>
      </c>
      <c r="B469" s="6">
        <v>4.0</v>
      </c>
      <c r="C469" s="5" t="s">
        <v>198</v>
      </c>
      <c r="D469" s="5" t="s">
        <v>178</v>
      </c>
      <c r="E469" s="12">
        <v>46091.92513888889</v>
      </c>
      <c r="F469" s="14">
        <v>165000.0</v>
      </c>
      <c r="G469" s="14">
        <v>10000.0</v>
      </c>
      <c r="H469" s="6">
        <v>4.0</v>
      </c>
      <c r="I469" s="14">
        <v>660000.0</v>
      </c>
      <c r="J469" s="5" t="s">
        <v>1334</v>
      </c>
      <c r="K469" s="15">
        <f t="shared" si="1"/>
        <v>0</v>
      </c>
      <c r="L469" s="15">
        <f t="shared" si="2"/>
        <v>660000</v>
      </c>
      <c r="M469" s="15">
        <f t="shared" si="3"/>
        <v>670000</v>
      </c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8.0" customHeight="1">
      <c r="A470" s="5" t="s">
        <v>1019</v>
      </c>
      <c r="B470" s="6">
        <v>1.0</v>
      </c>
      <c r="C470" s="5" t="s">
        <v>163</v>
      </c>
      <c r="D470" s="5" t="s">
        <v>550</v>
      </c>
      <c r="E470" s="12">
        <v>46164.4425</v>
      </c>
      <c r="F470" s="14">
        <v>304000.0</v>
      </c>
      <c r="G470" s="14">
        <v>9000.0</v>
      </c>
      <c r="H470" s="6">
        <v>3.0</v>
      </c>
      <c r="I470" s="14">
        <v>912000.0</v>
      </c>
      <c r="J470" s="5" t="s">
        <v>1339</v>
      </c>
      <c r="K470" s="15">
        <f t="shared" si="1"/>
        <v>0</v>
      </c>
      <c r="L470" s="15">
        <f t="shared" si="2"/>
        <v>912000</v>
      </c>
      <c r="M470" s="15">
        <f t="shared" si="3"/>
        <v>921000</v>
      </c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8.0" customHeight="1">
      <c r="A471" s="5" t="s">
        <v>1020</v>
      </c>
      <c r="B471" s="6">
        <v>1.0</v>
      </c>
      <c r="C471" s="5" t="s">
        <v>163</v>
      </c>
      <c r="D471" s="5" t="s">
        <v>550</v>
      </c>
      <c r="E471" s="12">
        <v>46197.54546296296</v>
      </c>
      <c r="F471" s="14">
        <v>304000.0</v>
      </c>
      <c r="G471" s="14">
        <v>12000.0</v>
      </c>
      <c r="H471" s="6">
        <v>3.0</v>
      </c>
      <c r="I471" s="14">
        <v>912000.0</v>
      </c>
      <c r="J471" s="5" t="s">
        <v>1342</v>
      </c>
      <c r="K471" s="15">
        <f t="shared" si="1"/>
        <v>0</v>
      </c>
      <c r="L471" s="15">
        <f t="shared" si="2"/>
        <v>912000</v>
      </c>
      <c r="M471" s="15">
        <f t="shared" si="3"/>
        <v>924000</v>
      </c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8.0" customHeight="1">
      <c r="A472" s="5" t="s">
        <v>1020</v>
      </c>
      <c r="B472" s="6">
        <v>2.0</v>
      </c>
      <c r="C472" s="5" t="s">
        <v>331</v>
      </c>
      <c r="D472" s="5" t="s">
        <v>541</v>
      </c>
      <c r="E472" s="12">
        <v>46197.54546296296</v>
      </c>
      <c r="F472" s="14">
        <v>122000.0</v>
      </c>
      <c r="G472" s="14">
        <v>6000.0</v>
      </c>
      <c r="H472" s="6">
        <v>2.0</v>
      </c>
      <c r="I472" s="14">
        <v>244000.0</v>
      </c>
      <c r="J472" s="5" t="s">
        <v>1349</v>
      </c>
      <c r="K472" s="15">
        <f t="shared" si="1"/>
        <v>0</v>
      </c>
      <c r="L472" s="15">
        <f t="shared" si="2"/>
        <v>244000</v>
      </c>
      <c r="M472" s="15">
        <f t="shared" si="3"/>
        <v>250000</v>
      </c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8.0" customHeight="1">
      <c r="A473" s="5" t="s">
        <v>1020</v>
      </c>
      <c r="B473" s="6">
        <v>3.0</v>
      </c>
      <c r="C473" s="5" t="s">
        <v>412</v>
      </c>
      <c r="D473" s="5" t="s">
        <v>707</v>
      </c>
      <c r="E473" s="12">
        <v>46197.54546296296</v>
      </c>
      <c r="F473" s="14">
        <v>140000.0</v>
      </c>
      <c r="G473" s="14">
        <v>8000.0</v>
      </c>
      <c r="H473" s="6">
        <v>2.0</v>
      </c>
      <c r="I473" s="14">
        <v>280000.0</v>
      </c>
      <c r="J473" s="5" t="s">
        <v>1352</v>
      </c>
      <c r="K473" s="15">
        <f t="shared" si="1"/>
        <v>0</v>
      </c>
      <c r="L473" s="15">
        <f t="shared" si="2"/>
        <v>280000</v>
      </c>
      <c r="M473" s="15">
        <f t="shared" si="3"/>
        <v>288000</v>
      </c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8.0" customHeight="1">
      <c r="A474" s="5" t="s">
        <v>1022</v>
      </c>
      <c r="B474" s="6">
        <v>1.0</v>
      </c>
      <c r="C474" s="5" t="s">
        <v>376</v>
      </c>
      <c r="D474" s="5" t="s">
        <v>800</v>
      </c>
      <c r="E474" s="12">
        <v>45886.966770833336</v>
      </c>
      <c r="F474" s="14">
        <v>160000.0</v>
      </c>
      <c r="G474" s="14">
        <v>5000.0</v>
      </c>
      <c r="H474" s="6">
        <v>4.0</v>
      </c>
      <c r="I474" s="14">
        <v>640000.0</v>
      </c>
      <c r="J474" s="5" t="s">
        <v>1355</v>
      </c>
      <c r="K474" s="15">
        <f t="shared" si="1"/>
        <v>0</v>
      </c>
      <c r="L474" s="15">
        <f t="shared" si="2"/>
        <v>640000</v>
      </c>
      <c r="M474" s="15">
        <f t="shared" si="3"/>
        <v>645000</v>
      </c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8.0" customHeight="1">
      <c r="A475" s="5" t="s">
        <v>1022</v>
      </c>
      <c r="B475" s="6">
        <v>2.0</v>
      </c>
      <c r="C475" s="5" t="s">
        <v>296</v>
      </c>
      <c r="D475" s="5" t="s">
        <v>879</v>
      </c>
      <c r="E475" s="12">
        <v>45886.966770833336</v>
      </c>
      <c r="F475" s="14">
        <v>180000.0</v>
      </c>
      <c r="G475" s="14">
        <v>7000.0</v>
      </c>
      <c r="H475" s="6">
        <v>3.0</v>
      </c>
      <c r="I475" s="14">
        <v>540000.0</v>
      </c>
      <c r="J475" s="5" t="s">
        <v>1361</v>
      </c>
      <c r="K475" s="15">
        <f t="shared" si="1"/>
        <v>0</v>
      </c>
      <c r="L475" s="15">
        <f t="shared" si="2"/>
        <v>540000</v>
      </c>
      <c r="M475" s="15">
        <f t="shared" si="3"/>
        <v>547000</v>
      </c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8.0" customHeight="1">
      <c r="A476" s="5" t="s">
        <v>1023</v>
      </c>
      <c r="B476" s="6">
        <v>1.0</v>
      </c>
      <c r="C476" s="5" t="s">
        <v>222</v>
      </c>
      <c r="D476" s="5" t="s">
        <v>414</v>
      </c>
      <c r="E476" s="12">
        <v>45946.97982638889</v>
      </c>
      <c r="F476" s="14">
        <v>285000.0</v>
      </c>
      <c r="G476" s="14">
        <v>14000.0</v>
      </c>
      <c r="H476" s="6">
        <v>4.0</v>
      </c>
      <c r="I476" s="14">
        <v>1140000.0</v>
      </c>
      <c r="J476" s="5" t="s">
        <v>1364</v>
      </c>
      <c r="K476" s="15">
        <f t="shared" si="1"/>
        <v>0</v>
      </c>
      <c r="L476" s="15">
        <f t="shared" si="2"/>
        <v>1140000</v>
      </c>
      <c r="M476" s="15">
        <f t="shared" si="3"/>
        <v>1154000</v>
      </c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8.0" customHeight="1">
      <c r="A477" s="5" t="s">
        <v>1025</v>
      </c>
      <c r="B477" s="6">
        <v>1.0</v>
      </c>
      <c r="C477" s="5" t="s">
        <v>210</v>
      </c>
      <c r="D477" s="5" t="s">
        <v>589</v>
      </c>
      <c r="E477" s="12">
        <v>45754.86126157407</v>
      </c>
      <c r="F477" s="14">
        <v>90000.0</v>
      </c>
      <c r="G477" s="14">
        <v>5000.0</v>
      </c>
      <c r="H477" s="6">
        <v>1.0</v>
      </c>
      <c r="I477" s="14">
        <v>90000.0</v>
      </c>
      <c r="J477" s="5" t="s">
        <v>1367</v>
      </c>
      <c r="K477" s="15">
        <f t="shared" si="1"/>
        <v>0</v>
      </c>
      <c r="L477" s="15">
        <f t="shared" si="2"/>
        <v>90000</v>
      </c>
      <c r="M477" s="15">
        <f t="shared" si="3"/>
        <v>95000</v>
      </c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8.0" customHeight="1">
      <c r="A478" s="5" t="s">
        <v>1025</v>
      </c>
      <c r="B478" s="6">
        <v>2.0</v>
      </c>
      <c r="C478" s="5" t="s">
        <v>356</v>
      </c>
      <c r="D478" s="5" t="s">
        <v>478</v>
      </c>
      <c r="E478" s="12">
        <v>45754.86126157407</v>
      </c>
      <c r="F478" s="14">
        <v>152000.0</v>
      </c>
      <c r="G478" s="14">
        <v>5000.0</v>
      </c>
      <c r="H478" s="6">
        <v>2.0</v>
      </c>
      <c r="I478" s="14">
        <v>304000.0</v>
      </c>
      <c r="J478" s="5" t="s">
        <v>1370</v>
      </c>
      <c r="K478" s="15">
        <f t="shared" si="1"/>
        <v>0</v>
      </c>
      <c r="L478" s="15">
        <f t="shared" si="2"/>
        <v>304000</v>
      </c>
      <c r="M478" s="15">
        <f t="shared" si="3"/>
        <v>309000</v>
      </c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8.0" customHeight="1">
      <c r="A479" s="5" t="s">
        <v>1025</v>
      </c>
      <c r="B479" s="6">
        <v>3.0</v>
      </c>
      <c r="C479" s="5" t="s">
        <v>353</v>
      </c>
      <c r="D479" s="5" t="s">
        <v>156</v>
      </c>
      <c r="E479" s="12">
        <v>45754.86126157407</v>
      </c>
      <c r="F479" s="14">
        <v>131000.0</v>
      </c>
      <c r="G479" s="14">
        <v>5000.0</v>
      </c>
      <c r="H479" s="6">
        <v>4.0</v>
      </c>
      <c r="I479" s="14">
        <v>524000.0</v>
      </c>
      <c r="J479" s="5" t="s">
        <v>1373</v>
      </c>
      <c r="K479" s="15">
        <f t="shared" si="1"/>
        <v>0</v>
      </c>
      <c r="L479" s="15">
        <f t="shared" si="2"/>
        <v>524000</v>
      </c>
      <c r="M479" s="15">
        <f t="shared" si="3"/>
        <v>529000</v>
      </c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8.0" customHeight="1">
      <c r="A480" s="5" t="s">
        <v>1027</v>
      </c>
      <c r="B480" s="6">
        <v>1.0</v>
      </c>
      <c r="C480" s="5" t="s">
        <v>376</v>
      </c>
      <c r="D480" s="5" t="s">
        <v>800</v>
      </c>
      <c r="E480" s="12">
        <v>46107.44635416667</v>
      </c>
      <c r="F480" s="14">
        <v>160000.0</v>
      </c>
      <c r="G480" s="14">
        <v>8000.0</v>
      </c>
      <c r="H480" s="6">
        <v>3.0</v>
      </c>
      <c r="I480" s="14">
        <v>480000.0</v>
      </c>
      <c r="J480" s="5" t="s">
        <v>1377</v>
      </c>
      <c r="K480" s="15">
        <f t="shared" si="1"/>
        <v>0</v>
      </c>
      <c r="L480" s="15">
        <f t="shared" si="2"/>
        <v>480000</v>
      </c>
      <c r="M480" s="15">
        <f t="shared" si="3"/>
        <v>488000</v>
      </c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8.0" customHeight="1">
      <c r="A481" s="5" t="s">
        <v>1027</v>
      </c>
      <c r="B481" s="6">
        <v>2.0</v>
      </c>
      <c r="C481" s="5" t="s">
        <v>257</v>
      </c>
      <c r="D481" s="5" t="s">
        <v>715</v>
      </c>
      <c r="E481" s="12">
        <v>46107.44635416667</v>
      </c>
      <c r="F481" s="14">
        <v>250000.0</v>
      </c>
      <c r="G481" s="14">
        <v>15000.0</v>
      </c>
      <c r="H481" s="6">
        <v>1.0</v>
      </c>
      <c r="I481" s="14">
        <v>250000.0</v>
      </c>
      <c r="J481" s="5" t="s">
        <v>1380</v>
      </c>
      <c r="K481" s="15">
        <f t="shared" si="1"/>
        <v>0</v>
      </c>
      <c r="L481" s="15">
        <f t="shared" si="2"/>
        <v>250000</v>
      </c>
      <c r="M481" s="15">
        <f t="shared" si="3"/>
        <v>265000</v>
      </c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8.0" customHeight="1">
      <c r="A482" s="5" t="s">
        <v>1028</v>
      </c>
      <c r="B482" s="6">
        <v>1.0</v>
      </c>
      <c r="C482" s="5" t="s">
        <v>163</v>
      </c>
      <c r="D482" s="5" t="s">
        <v>550</v>
      </c>
      <c r="E482" s="12">
        <v>45501.373761574076</v>
      </c>
      <c r="F482" s="14">
        <v>320000.0</v>
      </c>
      <c r="G482" s="14">
        <v>10000.0</v>
      </c>
      <c r="H482" s="6">
        <v>1.0</v>
      </c>
      <c r="I482" s="14">
        <v>320000.0</v>
      </c>
      <c r="J482" s="5" t="s">
        <v>1383</v>
      </c>
      <c r="K482" s="15">
        <f t="shared" si="1"/>
        <v>0</v>
      </c>
      <c r="L482" s="15">
        <f t="shared" si="2"/>
        <v>320000</v>
      </c>
      <c r="M482" s="15">
        <f t="shared" si="3"/>
        <v>330000</v>
      </c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8.0" customHeight="1">
      <c r="A483" s="5" t="s">
        <v>1028</v>
      </c>
      <c r="B483" s="6">
        <v>2.0</v>
      </c>
      <c r="C483" s="5" t="s">
        <v>210</v>
      </c>
      <c r="D483" s="5" t="s">
        <v>589</v>
      </c>
      <c r="E483" s="12">
        <v>45501.373761574076</v>
      </c>
      <c r="F483" s="14">
        <v>95000.0</v>
      </c>
      <c r="G483" s="14">
        <v>4000.0</v>
      </c>
      <c r="H483" s="6">
        <v>4.0</v>
      </c>
      <c r="I483" s="14">
        <v>380000.0</v>
      </c>
      <c r="J483" s="5" t="s">
        <v>1387</v>
      </c>
      <c r="K483" s="15">
        <f t="shared" si="1"/>
        <v>0</v>
      </c>
      <c r="L483" s="15">
        <f t="shared" si="2"/>
        <v>380000</v>
      </c>
      <c r="M483" s="15">
        <f t="shared" si="3"/>
        <v>384000</v>
      </c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8.0" customHeight="1">
      <c r="A484" s="5" t="s">
        <v>1030</v>
      </c>
      <c r="B484" s="6">
        <v>1.0</v>
      </c>
      <c r="C484" s="5" t="s">
        <v>136</v>
      </c>
      <c r="D484" s="5" t="s">
        <v>445</v>
      </c>
      <c r="E484" s="12">
        <v>45847.6846875</v>
      </c>
      <c r="F484" s="14">
        <v>790000.0</v>
      </c>
      <c r="G484" s="14">
        <v>40000.0</v>
      </c>
      <c r="H484" s="6">
        <v>4.0</v>
      </c>
      <c r="I484" s="14">
        <v>3160000.0</v>
      </c>
      <c r="J484" s="5" t="s">
        <v>1390</v>
      </c>
      <c r="K484" s="15">
        <f t="shared" si="1"/>
        <v>0</v>
      </c>
      <c r="L484" s="15">
        <f t="shared" si="2"/>
        <v>3160000</v>
      </c>
      <c r="M484" s="15">
        <f t="shared" si="3"/>
        <v>3200000</v>
      </c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8.0" customHeight="1">
      <c r="A485" s="5" t="s">
        <v>1031</v>
      </c>
      <c r="B485" s="6">
        <v>1.0</v>
      </c>
      <c r="C485" s="5" t="s">
        <v>80</v>
      </c>
      <c r="D485" s="5" t="s">
        <v>81</v>
      </c>
      <c r="E485" s="12">
        <v>46158.28986111111</v>
      </c>
      <c r="F485" s="14">
        <v>420000.0</v>
      </c>
      <c r="G485" s="14">
        <v>25000.0</v>
      </c>
      <c r="H485" s="6">
        <v>2.0</v>
      </c>
      <c r="I485" s="14">
        <v>840000.0</v>
      </c>
      <c r="J485" s="5" t="s">
        <v>1393</v>
      </c>
      <c r="K485" s="15">
        <f t="shared" si="1"/>
        <v>0</v>
      </c>
      <c r="L485" s="15">
        <f t="shared" si="2"/>
        <v>840000</v>
      </c>
      <c r="M485" s="15">
        <f t="shared" si="3"/>
        <v>865000</v>
      </c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8.0" customHeight="1">
      <c r="A486" s="5" t="s">
        <v>1031</v>
      </c>
      <c r="B486" s="6">
        <v>2.0</v>
      </c>
      <c r="C486" s="5" t="s">
        <v>242</v>
      </c>
      <c r="D486" s="5" t="s">
        <v>690</v>
      </c>
      <c r="E486" s="12">
        <v>46158.28986111111</v>
      </c>
      <c r="F486" s="14">
        <v>504000.0</v>
      </c>
      <c r="G486" s="14">
        <v>15000.0</v>
      </c>
      <c r="H486" s="6">
        <v>1.0</v>
      </c>
      <c r="I486" s="14">
        <v>504000.0</v>
      </c>
      <c r="J486" s="5" t="s">
        <v>1398</v>
      </c>
      <c r="K486" s="15">
        <f t="shared" si="1"/>
        <v>0</v>
      </c>
      <c r="L486" s="15">
        <f t="shared" si="2"/>
        <v>504000</v>
      </c>
      <c r="M486" s="15">
        <f t="shared" si="3"/>
        <v>519000</v>
      </c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8.0" customHeight="1">
      <c r="A487" s="5" t="s">
        <v>1031</v>
      </c>
      <c r="B487" s="6">
        <v>3.0</v>
      </c>
      <c r="C487" s="5" t="s">
        <v>376</v>
      </c>
      <c r="D487" s="5" t="s">
        <v>800</v>
      </c>
      <c r="E487" s="12">
        <v>46158.28986111111</v>
      </c>
      <c r="F487" s="14">
        <v>168000.0</v>
      </c>
      <c r="G487" s="14">
        <v>7000.0</v>
      </c>
      <c r="H487" s="6">
        <v>2.0</v>
      </c>
      <c r="I487" s="14">
        <v>336000.0</v>
      </c>
      <c r="J487" s="5" t="s">
        <v>1401</v>
      </c>
      <c r="K487" s="15">
        <f t="shared" si="1"/>
        <v>0</v>
      </c>
      <c r="L487" s="15">
        <f t="shared" si="2"/>
        <v>336000</v>
      </c>
      <c r="M487" s="15">
        <f t="shared" si="3"/>
        <v>343000</v>
      </c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8.0" customHeight="1">
      <c r="A488" s="5" t="s">
        <v>1031</v>
      </c>
      <c r="B488" s="6">
        <v>4.0</v>
      </c>
      <c r="C488" s="5" t="s">
        <v>331</v>
      </c>
      <c r="D488" s="5" t="s">
        <v>541</v>
      </c>
      <c r="E488" s="12">
        <v>46158.28986111111</v>
      </c>
      <c r="F488" s="14">
        <v>122000.0</v>
      </c>
      <c r="G488" s="14">
        <v>6000.0</v>
      </c>
      <c r="H488" s="6">
        <v>4.0</v>
      </c>
      <c r="I488" s="14">
        <v>488000.0</v>
      </c>
      <c r="J488" s="5" t="s">
        <v>1404</v>
      </c>
      <c r="K488" s="15">
        <f t="shared" si="1"/>
        <v>0</v>
      </c>
      <c r="L488" s="15">
        <f t="shared" si="2"/>
        <v>488000</v>
      </c>
      <c r="M488" s="15">
        <f t="shared" si="3"/>
        <v>494000</v>
      </c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8.0" customHeight="1">
      <c r="A489" s="5" t="s">
        <v>1033</v>
      </c>
      <c r="B489" s="6">
        <v>1.0</v>
      </c>
      <c r="C489" s="5" t="s">
        <v>122</v>
      </c>
      <c r="D489" s="5" t="s">
        <v>156</v>
      </c>
      <c r="E489" s="12">
        <v>45864.02576388889</v>
      </c>
      <c r="F489" s="14">
        <v>351000.0</v>
      </c>
      <c r="G489" s="14">
        <v>21000.0</v>
      </c>
      <c r="H489" s="6">
        <v>4.0</v>
      </c>
      <c r="I489" s="14">
        <v>1404000.0</v>
      </c>
      <c r="J489" s="5" t="s">
        <v>1406</v>
      </c>
      <c r="K489" s="15">
        <f t="shared" si="1"/>
        <v>0</v>
      </c>
      <c r="L489" s="15">
        <f t="shared" si="2"/>
        <v>1404000</v>
      </c>
      <c r="M489" s="15">
        <f t="shared" si="3"/>
        <v>1425000</v>
      </c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8.0" customHeight="1">
      <c r="A490" s="5" t="s">
        <v>1033</v>
      </c>
      <c r="B490" s="6">
        <v>2.0</v>
      </c>
      <c r="C490" s="5" t="s">
        <v>43</v>
      </c>
      <c r="D490" s="5" t="s">
        <v>321</v>
      </c>
      <c r="E490" s="12">
        <v>45864.02576388889</v>
      </c>
      <c r="F490" s="14">
        <v>473000.0</v>
      </c>
      <c r="G490" s="14">
        <v>14000.0</v>
      </c>
      <c r="H490" s="6">
        <v>3.0</v>
      </c>
      <c r="I490" s="14">
        <v>1419000.0</v>
      </c>
      <c r="J490" s="5" t="s">
        <v>1409</v>
      </c>
      <c r="K490" s="15">
        <f t="shared" si="1"/>
        <v>0</v>
      </c>
      <c r="L490" s="15">
        <f t="shared" si="2"/>
        <v>1419000</v>
      </c>
      <c r="M490" s="15">
        <f t="shared" si="3"/>
        <v>1433000</v>
      </c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8.0" customHeight="1">
      <c r="A491" s="5" t="s">
        <v>1035</v>
      </c>
      <c r="B491" s="6">
        <v>1.0</v>
      </c>
      <c r="C491" s="5" t="s">
        <v>241</v>
      </c>
      <c r="D491" s="5" t="s">
        <v>243</v>
      </c>
      <c r="E491" s="12">
        <v>46012.18784722222</v>
      </c>
      <c r="F491" s="14">
        <v>120000.0</v>
      </c>
      <c r="G491" s="14">
        <v>5000.0</v>
      </c>
      <c r="H491" s="6">
        <v>3.0</v>
      </c>
      <c r="I491" s="14">
        <v>360000.0</v>
      </c>
      <c r="J491" s="5" t="s">
        <v>1411</v>
      </c>
      <c r="K491" s="15">
        <f t="shared" si="1"/>
        <v>0</v>
      </c>
      <c r="L491" s="15">
        <f t="shared" si="2"/>
        <v>360000</v>
      </c>
      <c r="M491" s="15">
        <f t="shared" si="3"/>
        <v>365000</v>
      </c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8.0" customHeight="1">
      <c r="A492" s="5" t="s">
        <v>1035</v>
      </c>
      <c r="B492" s="6">
        <v>2.0</v>
      </c>
      <c r="C492" s="5" t="s">
        <v>43</v>
      </c>
      <c r="D492" s="5" t="s">
        <v>321</v>
      </c>
      <c r="E492" s="12">
        <v>46012.18784722222</v>
      </c>
      <c r="F492" s="14">
        <v>450000.0</v>
      </c>
      <c r="G492" s="14">
        <v>23000.0</v>
      </c>
      <c r="H492" s="6">
        <v>4.0</v>
      </c>
      <c r="I492" s="14">
        <v>1800000.0</v>
      </c>
      <c r="J492" s="5" t="s">
        <v>1414</v>
      </c>
      <c r="K492" s="15">
        <f t="shared" si="1"/>
        <v>0</v>
      </c>
      <c r="L492" s="15">
        <f t="shared" si="2"/>
        <v>1800000</v>
      </c>
      <c r="M492" s="15">
        <f t="shared" si="3"/>
        <v>1823000</v>
      </c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8.0" customHeight="1">
      <c r="A493" s="5" t="s">
        <v>1036</v>
      </c>
      <c r="B493" s="6">
        <v>1.0</v>
      </c>
      <c r="C493" s="5" t="s">
        <v>507</v>
      </c>
      <c r="D493" s="5" t="s">
        <v>550</v>
      </c>
      <c r="E493" s="12">
        <v>45641.721817129626</v>
      </c>
      <c r="F493" s="14">
        <v>194000.0</v>
      </c>
      <c r="G493" s="14">
        <v>12000.0</v>
      </c>
      <c r="H493" s="6">
        <v>1.0</v>
      </c>
      <c r="I493" s="14">
        <v>194000.0</v>
      </c>
      <c r="J493" s="5" t="s">
        <v>1416</v>
      </c>
      <c r="K493" s="15">
        <f t="shared" si="1"/>
        <v>0</v>
      </c>
      <c r="L493" s="15">
        <f t="shared" si="2"/>
        <v>194000</v>
      </c>
      <c r="M493" s="15">
        <f t="shared" si="3"/>
        <v>206000</v>
      </c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8.0" customHeight="1">
      <c r="A494" s="5" t="s">
        <v>1038</v>
      </c>
      <c r="B494" s="6">
        <v>1.0</v>
      </c>
      <c r="C494" s="5" t="s">
        <v>184</v>
      </c>
      <c r="D494" s="5" t="s">
        <v>227</v>
      </c>
      <c r="E494" s="12">
        <v>45583.63155092593</v>
      </c>
      <c r="F494" s="14">
        <v>252000.0</v>
      </c>
      <c r="G494" s="14">
        <v>8000.0</v>
      </c>
      <c r="H494" s="6">
        <v>4.0</v>
      </c>
      <c r="I494" s="14">
        <v>1008000.0</v>
      </c>
      <c r="J494" s="5" t="s">
        <v>1418</v>
      </c>
      <c r="K494" s="15">
        <f t="shared" si="1"/>
        <v>0</v>
      </c>
      <c r="L494" s="15">
        <f t="shared" si="2"/>
        <v>1008000</v>
      </c>
      <c r="M494" s="15">
        <f t="shared" si="3"/>
        <v>1016000</v>
      </c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8.0" customHeight="1">
      <c r="A495" s="5" t="s">
        <v>1038</v>
      </c>
      <c r="B495" s="6">
        <v>2.0</v>
      </c>
      <c r="C495" s="5" t="s">
        <v>257</v>
      </c>
      <c r="D495" s="5" t="s">
        <v>715</v>
      </c>
      <c r="E495" s="12">
        <v>45583.63155092593</v>
      </c>
      <c r="F495" s="14">
        <v>225000.0</v>
      </c>
      <c r="G495" s="14">
        <v>9000.0</v>
      </c>
      <c r="H495" s="6">
        <v>4.0</v>
      </c>
      <c r="I495" s="14">
        <v>900000.0</v>
      </c>
      <c r="J495" s="5" t="s">
        <v>1422</v>
      </c>
      <c r="K495" s="15">
        <f t="shared" si="1"/>
        <v>0</v>
      </c>
      <c r="L495" s="15">
        <f t="shared" si="2"/>
        <v>900000</v>
      </c>
      <c r="M495" s="15">
        <f t="shared" si="3"/>
        <v>909000</v>
      </c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8.0" customHeight="1">
      <c r="A496" s="5" t="s">
        <v>1038</v>
      </c>
      <c r="B496" s="6">
        <v>3.0</v>
      </c>
      <c r="C496" s="5" t="s">
        <v>177</v>
      </c>
      <c r="D496" s="5" t="s">
        <v>602</v>
      </c>
      <c r="E496" s="12">
        <v>45583.63155092593</v>
      </c>
      <c r="F496" s="14">
        <v>131000.0</v>
      </c>
      <c r="G496" s="14">
        <v>7000.0</v>
      </c>
      <c r="H496" s="6">
        <v>1.0</v>
      </c>
      <c r="I496" s="14">
        <v>131000.0</v>
      </c>
      <c r="J496" s="5" t="s">
        <v>1425</v>
      </c>
      <c r="K496" s="15">
        <f t="shared" si="1"/>
        <v>0</v>
      </c>
      <c r="L496" s="15">
        <f t="shared" si="2"/>
        <v>131000</v>
      </c>
      <c r="M496" s="15">
        <f t="shared" si="3"/>
        <v>138000</v>
      </c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8.0" customHeight="1">
      <c r="A497" s="5" t="s">
        <v>1038</v>
      </c>
      <c r="B497" s="6">
        <v>4.0</v>
      </c>
      <c r="C497" s="5" t="s">
        <v>465</v>
      </c>
      <c r="D497" s="5" t="s">
        <v>304</v>
      </c>
      <c r="E497" s="12">
        <v>45583.63155092593</v>
      </c>
      <c r="F497" s="14">
        <v>131000.0</v>
      </c>
      <c r="G497" s="14">
        <v>8000.0</v>
      </c>
      <c r="H497" s="6">
        <v>1.0</v>
      </c>
      <c r="I497" s="14">
        <v>131000.0</v>
      </c>
      <c r="J497" s="5" t="s">
        <v>1428</v>
      </c>
      <c r="K497" s="15">
        <f t="shared" si="1"/>
        <v>0</v>
      </c>
      <c r="L497" s="15">
        <f t="shared" si="2"/>
        <v>131000</v>
      </c>
      <c r="M497" s="15">
        <f t="shared" si="3"/>
        <v>139000</v>
      </c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8.0" customHeight="1">
      <c r="A498" s="5" t="s">
        <v>1040</v>
      </c>
      <c r="B498" s="6">
        <v>1.0</v>
      </c>
      <c r="C498" s="5" t="s">
        <v>331</v>
      </c>
      <c r="D498" s="5" t="s">
        <v>541</v>
      </c>
      <c r="E498" s="12">
        <v>46175.20755787037</v>
      </c>
      <c r="F498" s="14">
        <v>135000.0</v>
      </c>
      <c r="G498" s="14">
        <v>4000.0</v>
      </c>
      <c r="H498" s="6">
        <v>2.0</v>
      </c>
      <c r="I498" s="14">
        <v>270000.0</v>
      </c>
      <c r="J498" s="5" t="s">
        <v>1430</v>
      </c>
      <c r="K498" s="15">
        <f t="shared" si="1"/>
        <v>0</v>
      </c>
      <c r="L498" s="15">
        <f t="shared" si="2"/>
        <v>270000</v>
      </c>
      <c r="M498" s="15">
        <f t="shared" si="3"/>
        <v>274000</v>
      </c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8.0" customHeight="1">
      <c r="A499" s="5" t="s">
        <v>1040</v>
      </c>
      <c r="B499" s="6">
        <v>2.0</v>
      </c>
      <c r="C499" s="5" t="s">
        <v>507</v>
      </c>
      <c r="D499" s="5" t="s">
        <v>550</v>
      </c>
      <c r="E499" s="12">
        <v>46175.20755787037</v>
      </c>
      <c r="F499" s="14">
        <v>185000.0</v>
      </c>
      <c r="G499" s="14">
        <v>7000.0</v>
      </c>
      <c r="H499" s="6">
        <v>1.0</v>
      </c>
      <c r="I499" s="14">
        <v>185000.0</v>
      </c>
      <c r="J499" s="5" t="s">
        <v>1432</v>
      </c>
      <c r="K499" s="15">
        <f t="shared" si="1"/>
        <v>0</v>
      </c>
      <c r="L499" s="15">
        <f t="shared" si="2"/>
        <v>185000</v>
      </c>
      <c r="M499" s="15">
        <f t="shared" si="3"/>
        <v>192000</v>
      </c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8.0" customHeight="1">
      <c r="A500" s="5" t="s">
        <v>1040</v>
      </c>
      <c r="B500" s="6">
        <v>3.0</v>
      </c>
      <c r="C500" s="5" t="s">
        <v>147</v>
      </c>
      <c r="D500" s="5" t="s">
        <v>397</v>
      </c>
      <c r="E500" s="12">
        <v>46175.20755787037</v>
      </c>
      <c r="F500" s="14">
        <v>180000.0</v>
      </c>
      <c r="G500" s="14">
        <v>9000.0</v>
      </c>
      <c r="H500" s="6">
        <v>4.0</v>
      </c>
      <c r="I500" s="14">
        <v>720000.0</v>
      </c>
      <c r="J500" s="5" t="s">
        <v>1435</v>
      </c>
      <c r="K500" s="15">
        <f t="shared" si="1"/>
        <v>0</v>
      </c>
      <c r="L500" s="15">
        <f t="shared" si="2"/>
        <v>720000</v>
      </c>
      <c r="M500" s="15">
        <f t="shared" si="3"/>
        <v>729000</v>
      </c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8.0" customHeight="1">
      <c r="A501" s="5" t="s">
        <v>1041</v>
      </c>
      <c r="B501" s="6">
        <v>1.0</v>
      </c>
      <c r="C501" s="5" t="s">
        <v>320</v>
      </c>
      <c r="D501" s="5" t="s">
        <v>321</v>
      </c>
      <c r="E501" s="12">
        <v>46008.37165509259</v>
      </c>
      <c r="F501" s="14">
        <v>180000.0</v>
      </c>
      <c r="G501" s="14">
        <v>11000.0</v>
      </c>
      <c r="H501" s="6">
        <v>1.0</v>
      </c>
      <c r="I501" s="14">
        <v>180000.0</v>
      </c>
      <c r="J501" s="5" t="s">
        <v>1437</v>
      </c>
      <c r="K501" s="15">
        <f t="shared" si="1"/>
        <v>0</v>
      </c>
      <c r="L501" s="15">
        <f t="shared" si="2"/>
        <v>180000</v>
      </c>
      <c r="M501" s="15">
        <f t="shared" si="3"/>
        <v>191000</v>
      </c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8.0" customHeight="1">
      <c r="A502" s="5" t="s">
        <v>1043</v>
      </c>
      <c r="B502" s="6">
        <v>1.0</v>
      </c>
      <c r="C502" s="5" t="s">
        <v>489</v>
      </c>
      <c r="D502" s="5" t="s">
        <v>445</v>
      </c>
      <c r="E502" s="12">
        <v>45853.976331018515</v>
      </c>
      <c r="F502" s="14">
        <v>95000.0</v>
      </c>
      <c r="G502" s="14">
        <v>3000.0</v>
      </c>
      <c r="H502" s="6">
        <v>3.0</v>
      </c>
      <c r="I502" s="14">
        <v>285000.0</v>
      </c>
      <c r="J502" s="5" t="s">
        <v>1440</v>
      </c>
      <c r="K502" s="15">
        <f t="shared" si="1"/>
        <v>0</v>
      </c>
      <c r="L502" s="15">
        <f t="shared" si="2"/>
        <v>285000</v>
      </c>
      <c r="M502" s="15">
        <f t="shared" si="3"/>
        <v>288000</v>
      </c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8.0" customHeight="1">
      <c r="A503" s="5" t="s">
        <v>1045</v>
      </c>
      <c r="B503" s="6">
        <v>1.0</v>
      </c>
      <c r="C503" s="5" t="s">
        <v>412</v>
      </c>
      <c r="D503" s="5" t="s">
        <v>707</v>
      </c>
      <c r="E503" s="12">
        <v>45721.637395833335</v>
      </c>
      <c r="F503" s="14">
        <v>155000.0</v>
      </c>
      <c r="G503" s="14">
        <v>6000.0</v>
      </c>
      <c r="H503" s="6">
        <v>3.0</v>
      </c>
      <c r="I503" s="14">
        <v>465000.0</v>
      </c>
      <c r="J503" s="5" t="s">
        <v>1442</v>
      </c>
      <c r="K503" s="15">
        <f t="shared" si="1"/>
        <v>0</v>
      </c>
      <c r="L503" s="15">
        <f t="shared" si="2"/>
        <v>465000</v>
      </c>
      <c r="M503" s="15">
        <f t="shared" si="3"/>
        <v>471000</v>
      </c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8.0" customHeight="1">
      <c r="A504" s="5" t="s">
        <v>1045</v>
      </c>
      <c r="B504" s="6">
        <v>2.0</v>
      </c>
      <c r="C504" s="5" t="s">
        <v>465</v>
      </c>
      <c r="D504" s="5" t="s">
        <v>304</v>
      </c>
      <c r="E504" s="12">
        <v>45721.637395833335</v>
      </c>
      <c r="F504" s="14">
        <v>131000.0</v>
      </c>
      <c r="G504" s="14">
        <v>7000.0</v>
      </c>
      <c r="H504" s="6">
        <v>4.0</v>
      </c>
      <c r="I504" s="14">
        <v>524000.0</v>
      </c>
      <c r="J504" s="5" t="s">
        <v>1445</v>
      </c>
      <c r="K504" s="15">
        <f t="shared" si="1"/>
        <v>0</v>
      </c>
      <c r="L504" s="15">
        <f t="shared" si="2"/>
        <v>524000</v>
      </c>
      <c r="M504" s="15">
        <f t="shared" si="3"/>
        <v>531000</v>
      </c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8.0" customHeight="1">
      <c r="A505" s="5" t="s">
        <v>1045</v>
      </c>
      <c r="B505" s="6">
        <v>3.0</v>
      </c>
      <c r="C505" s="5" t="s">
        <v>264</v>
      </c>
      <c r="D505" s="5" t="s">
        <v>266</v>
      </c>
      <c r="E505" s="12">
        <v>45721.637395833335</v>
      </c>
      <c r="F505" s="14">
        <v>305000.0</v>
      </c>
      <c r="G505" s="14">
        <v>18000.0</v>
      </c>
      <c r="H505" s="6">
        <v>2.0</v>
      </c>
      <c r="I505" s="14">
        <v>610000.0</v>
      </c>
      <c r="J505" s="5" t="s">
        <v>1447</v>
      </c>
      <c r="K505" s="15">
        <f t="shared" si="1"/>
        <v>0</v>
      </c>
      <c r="L505" s="15">
        <f t="shared" si="2"/>
        <v>610000</v>
      </c>
      <c r="M505" s="15">
        <f t="shared" si="3"/>
        <v>628000</v>
      </c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8.0" customHeight="1">
      <c r="A506" s="5" t="s">
        <v>1045</v>
      </c>
      <c r="B506" s="6">
        <v>4.0</v>
      </c>
      <c r="C506" s="5" t="s">
        <v>43</v>
      </c>
      <c r="D506" s="5" t="s">
        <v>321</v>
      </c>
      <c r="E506" s="12">
        <v>45721.637395833335</v>
      </c>
      <c r="F506" s="14">
        <v>405000.0</v>
      </c>
      <c r="G506" s="14">
        <v>12000.0</v>
      </c>
      <c r="H506" s="6">
        <v>2.0</v>
      </c>
      <c r="I506" s="14">
        <v>810000.0</v>
      </c>
      <c r="J506" s="5" t="s">
        <v>1450</v>
      </c>
      <c r="K506" s="15">
        <f t="shared" si="1"/>
        <v>0</v>
      </c>
      <c r="L506" s="15">
        <f t="shared" si="2"/>
        <v>810000</v>
      </c>
      <c r="M506" s="15">
        <f t="shared" si="3"/>
        <v>822000</v>
      </c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8.0" customHeight="1">
      <c r="A507" s="5" t="s">
        <v>1046</v>
      </c>
      <c r="B507" s="6">
        <v>1.0</v>
      </c>
      <c r="C507" s="5" t="s">
        <v>257</v>
      </c>
      <c r="D507" s="5" t="s">
        <v>715</v>
      </c>
      <c r="E507" s="12">
        <v>45530.48747685185</v>
      </c>
      <c r="F507" s="14">
        <v>250000.0</v>
      </c>
      <c r="G507" s="14">
        <v>10000.0</v>
      </c>
      <c r="H507" s="6">
        <v>2.0</v>
      </c>
      <c r="I507" s="14">
        <v>500000.0</v>
      </c>
      <c r="J507" s="5" t="s">
        <v>1453</v>
      </c>
      <c r="K507" s="15">
        <f t="shared" si="1"/>
        <v>0</v>
      </c>
      <c r="L507" s="15">
        <f t="shared" si="2"/>
        <v>500000</v>
      </c>
      <c r="M507" s="15">
        <f t="shared" si="3"/>
        <v>510000</v>
      </c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8.0" customHeight="1">
      <c r="A508" s="5" t="s">
        <v>1046</v>
      </c>
      <c r="B508" s="6">
        <v>2.0</v>
      </c>
      <c r="C508" s="5" t="s">
        <v>177</v>
      </c>
      <c r="D508" s="5" t="s">
        <v>602</v>
      </c>
      <c r="E508" s="12">
        <v>45530.48747685185</v>
      </c>
      <c r="F508" s="14">
        <v>145000.0</v>
      </c>
      <c r="G508" s="14">
        <v>7000.0</v>
      </c>
      <c r="H508" s="6">
        <v>3.0</v>
      </c>
      <c r="I508" s="14">
        <v>435000.0</v>
      </c>
      <c r="J508" s="5" t="s">
        <v>1455</v>
      </c>
      <c r="K508" s="15">
        <f t="shared" si="1"/>
        <v>0</v>
      </c>
      <c r="L508" s="15">
        <f t="shared" si="2"/>
        <v>435000</v>
      </c>
      <c r="M508" s="15">
        <f t="shared" si="3"/>
        <v>442000</v>
      </c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8.0" customHeight="1">
      <c r="A509" s="5" t="s">
        <v>1046</v>
      </c>
      <c r="B509" s="6">
        <v>3.0</v>
      </c>
      <c r="C509" s="5" t="s">
        <v>320</v>
      </c>
      <c r="D509" s="5" t="s">
        <v>321</v>
      </c>
      <c r="E509" s="12">
        <v>45530.48747685185</v>
      </c>
      <c r="F509" s="14">
        <v>162000.0</v>
      </c>
      <c r="G509" s="14">
        <v>10000.0</v>
      </c>
      <c r="H509" s="6">
        <v>3.0</v>
      </c>
      <c r="I509" s="14">
        <v>486000.0</v>
      </c>
      <c r="J509" s="5" t="s">
        <v>1458</v>
      </c>
      <c r="K509" s="15">
        <f t="shared" si="1"/>
        <v>0</v>
      </c>
      <c r="L509" s="15">
        <f t="shared" si="2"/>
        <v>486000</v>
      </c>
      <c r="M509" s="15">
        <f t="shared" si="3"/>
        <v>496000</v>
      </c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8.0" customHeight="1">
      <c r="A510" s="5" t="s">
        <v>1046</v>
      </c>
      <c r="B510" s="6">
        <v>4.0</v>
      </c>
      <c r="C510" s="5" t="s">
        <v>353</v>
      </c>
      <c r="D510" s="5" t="s">
        <v>156</v>
      </c>
      <c r="E510" s="12">
        <v>45530.48747685185</v>
      </c>
      <c r="F510" s="14">
        <v>125000.0</v>
      </c>
      <c r="G510" s="14">
        <v>4000.0</v>
      </c>
      <c r="H510" s="6">
        <v>4.0</v>
      </c>
      <c r="I510" s="14">
        <v>500000.0</v>
      </c>
      <c r="J510" s="5" t="s">
        <v>1460</v>
      </c>
      <c r="K510" s="15">
        <f t="shared" si="1"/>
        <v>0</v>
      </c>
      <c r="L510" s="15">
        <f t="shared" si="2"/>
        <v>500000</v>
      </c>
      <c r="M510" s="15">
        <f t="shared" si="3"/>
        <v>504000</v>
      </c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autoFilter ref="$A$1:$M$51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82C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16.38"/>
    <col customWidth="1" min="3" max="3" width="13.63"/>
    <col customWidth="1" min="4" max="4" width="17.25"/>
    <col customWidth="1" min="5" max="5" width="12.63"/>
    <col customWidth="1" min="6" max="6" width="15.5"/>
    <col customWidth="1" min="7" max="7" width="10.0"/>
  </cols>
  <sheetData>
    <row r="1" ht="27.0" customHeight="1">
      <c r="A1" s="1" t="s">
        <v>26</v>
      </c>
      <c r="B1" s="1" t="s">
        <v>743</v>
      </c>
      <c r="C1" s="1" t="s">
        <v>744</v>
      </c>
      <c r="D1" s="1" t="s">
        <v>745</v>
      </c>
      <c r="E1" s="1" t="s">
        <v>746</v>
      </c>
      <c r="F1" s="1" t="s">
        <v>747</v>
      </c>
      <c r="G1" s="1" t="s">
        <v>27</v>
      </c>
      <c r="H1" s="19"/>
      <c r="I1" s="19"/>
      <c r="J1" s="1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 t="s">
        <v>73</v>
      </c>
      <c r="B2" s="6">
        <v>1.0</v>
      </c>
      <c r="C2" s="5" t="s">
        <v>750</v>
      </c>
      <c r="D2" s="6">
        <v>1.0</v>
      </c>
      <c r="E2" s="14">
        <v>3441000.0</v>
      </c>
      <c r="F2" s="5" t="s">
        <v>102</v>
      </c>
      <c r="G2" s="11" t="s">
        <v>79</v>
      </c>
      <c r="H2" s="20"/>
      <c r="I2" s="20"/>
      <c r="J2" s="20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8.0" customHeight="1">
      <c r="A3" s="5" t="s">
        <v>208</v>
      </c>
      <c r="B3" s="6">
        <v>1.0</v>
      </c>
      <c r="C3" s="5" t="s">
        <v>753</v>
      </c>
      <c r="D3" s="6">
        <v>1.0</v>
      </c>
      <c r="E3" s="14">
        <v>2851000.0</v>
      </c>
      <c r="F3" s="5" t="s">
        <v>258</v>
      </c>
      <c r="G3" s="11" t="s">
        <v>79</v>
      </c>
      <c r="H3" s="20"/>
      <c r="I3" s="20"/>
      <c r="J3" s="20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8.0" customHeight="1">
      <c r="A4" s="5" t="s">
        <v>282</v>
      </c>
      <c r="B4" s="6">
        <v>1.0</v>
      </c>
      <c r="C4" s="5" t="s">
        <v>754</v>
      </c>
      <c r="D4" s="6">
        <v>1.0</v>
      </c>
      <c r="E4" s="14">
        <v>630000.0</v>
      </c>
      <c r="F4" s="5" t="s">
        <v>344</v>
      </c>
      <c r="G4" s="11" t="s">
        <v>79</v>
      </c>
      <c r="H4" s="20"/>
      <c r="I4" s="20"/>
      <c r="J4" s="20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8.0" customHeight="1">
      <c r="A5" s="5" t="s">
        <v>319</v>
      </c>
      <c r="B5" s="6">
        <v>1.0</v>
      </c>
      <c r="C5" s="5" t="s">
        <v>756</v>
      </c>
      <c r="D5" s="6">
        <v>4.0</v>
      </c>
      <c r="E5" s="14">
        <v>1185000.0</v>
      </c>
      <c r="F5" s="5" t="s">
        <v>406</v>
      </c>
      <c r="G5" s="11" t="s">
        <v>79</v>
      </c>
      <c r="H5" s="20"/>
      <c r="I5" s="20"/>
      <c r="J5" s="20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8.0" customHeight="1">
      <c r="A6" s="5" t="s">
        <v>366</v>
      </c>
      <c r="B6" s="6">
        <v>1.0</v>
      </c>
      <c r="C6" s="5" t="s">
        <v>753</v>
      </c>
      <c r="D6" s="6">
        <v>1.0</v>
      </c>
      <c r="E6" s="14">
        <v>2037000.0</v>
      </c>
      <c r="F6" s="5" t="s">
        <v>258</v>
      </c>
      <c r="G6" s="11" t="s">
        <v>79</v>
      </c>
      <c r="H6" s="20"/>
      <c r="I6" s="20"/>
      <c r="J6" s="20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8.0" customHeight="1">
      <c r="A7" s="5" t="s">
        <v>394</v>
      </c>
      <c r="B7" s="6">
        <v>1.0</v>
      </c>
      <c r="C7" s="5" t="s">
        <v>754</v>
      </c>
      <c r="D7" s="6">
        <v>1.0</v>
      </c>
      <c r="E7" s="14">
        <v>1027000.0</v>
      </c>
      <c r="F7" s="5" t="s">
        <v>344</v>
      </c>
      <c r="G7" s="11" t="s">
        <v>79</v>
      </c>
      <c r="H7" s="20"/>
      <c r="I7" s="20"/>
      <c r="J7" s="20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8.0" customHeight="1">
      <c r="A8" s="5" t="s">
        <v>442</v>
      </c>
      <c r="B8" s="6">
        <v>1.0</v>
      </c>
      <c r="C8" s="5" t="s">
        <v>754</v>
      </c>
      <c r="D8" s="6">
        <v>1.0</v>
      </c>
      <c r="E8" s="14">
        <v>747000.0</v>
      </c>
      <c r="F8" s="5" t="s">
        <v>344</v>
      </c>
      <c r="G8" s="11" t="s">
        <v>79</v>
      </c>
      <c r="H8" s="20"/>
      <c r="I8" s="20"/>
      <c r="J8" s="20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8.0" customHeight="1">
      <c r="A9" s="5" t="s">
        <v>456</v>
      </c>
      <c r="B9" s="6">
        <v>1.0</v>
      </c>
      <c r="C9" s="5" t="s">
        <v>754</v>
      </c>
      <c r="D9" s="6">
        <v>1.0</v>
      </c>
      <c r="E9" s="14">
        <v>1947000.0</v>
      </c>
      <c r="F9" s="5" t="s">
        <v>344</v>
      </c>
      <c r="G9" s="11" t="s">
        <v>79</v>
      </c>
      <c r="H9" s="20"/>
      <c r="I9" s="20"/>
      <c r="J9" s="20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.0" customHeight="1">
      <c r="A10" s="5" t="s">
        <v>526</v>
      </c>
      <c r="B10" s="6">
        <v>1.0</v>
      </c>
      <c r="C10" s="5" t="s">
        <v>754</v>
      </c>
      <c r="D10" s="6">
        <v>1.0</v>
      </c>
      <c r="E10" s="14">
        <v>1234000.0</v>
      </c>
      <c r="F10" s="5" t="s">
        <v>344</v>
      </c>
      <c r="G10" s="11" t="s">
        <v>79</v>
      </c>
      <c r="H10" s="20"/>
      <c r="I10" s="20"/>
      <c r="J10" s="20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.0" customHeight="1">
      <c r="A11" s="5" t="s">
        <v>575</v>
      </c>
      <c r="B11" s="6">
        <v>1.0</v>
      </c>
      <c r="C11" s="5" t="s">
        <v>750</v>
      </c>
      <c r="D11" s="6">
        <v>1.0</v>
      </c>
      <c r="E11" s="14">
        <v>210000.0</v>
      </c>
      <c r="F11" s="5" t="s">
        <v>102</v>
      </c>
      <c r="G11" s="11" t="s">
        <v>79</v>
      </c>
      <c r="H11" s="20"/>
      <c r="I11" s="20"/>
      <c r="J11" s="20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8.0" customHeight="1">
      <c r="A12" s="5" t="s">
        <v>586</v>
      </c>
      <c r="B12" s="6">
        <v>1.0</v>
      </c>
      <c r="C12" s="5" t="s">
        <v>750</v>
      </c>
      <c r="D12" s="6">
        <v>1.0</v>
      </c>
      <c r="E12" s="14">
        <v>751000.0</v>
      </c>
      <c r="F12" s="5" t="s">
        <v>102</v>
      </c>
      <c r="G12" s="11" t="s">
        <v>79</v>
      </c>
      <c r="H12" s="20"/>
      <c r="I12" s="20"/>
      <c r="J12" s="20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8.0" customHeight="1">
      <c r="A13" s="5" t="s">
        <v>613</v>
      </c>
      <c r="B13" s="6">
        <v>1.0</v>
      </c>
      <c r="C13" s="5" t="s">
        <v>750</v>
      </c>
      <c r="D13" s="6">
        <v>1.0</v>
      </c>
      <c r="E13" s="14">
        <v>1868000.0</v>
      </c>
      <c r="F13" s="5" t="s">
        <v>102</v>
      </c>
      <c r="G13" s="11" t="s">
        <v>79</v>
      </c>
      <c r="H13" s="20"/>
      <c r="I13" s="20"/>
      <c r="J13" s="20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8.0" customHeight="1">
      <c r="A14" s="5" t="s">
        <v>630</v>
      </c>
      <c r="B14" s="6">
        <v>1.0</v>
      </c>
      <c r="C14" s="5" t="s">
        <v>750</v>
      </c>
      <c r="D14" s="6">
        <v>1.0</v>
      </c>
      <c r="E14" s="14">
        <v>1459000.0</v>
      </c>
      <c r="F14" s="5" t="s">
        <v>102</v>
      </c>
      <c r="G14" s="11" t="s">
        <v>79</v>
      </c>
      <c r="H14" s="20"/>
      <c r="I14" s="20"/>
      <c r="J14" s="20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8.0" customHeight="1">
      <c r="A15" s="5" t="s">
        <v>656</v>
      </c>
      <c r="B15" s="6">
        <v>1.0</v>
      </c>
      <c r="C15" s="5" t="s">
        <v>750</v>
      </c>
      <c r="D15" s="6">
        <v>1.0</v>
      </c>
      <c r="E15" s="14">
        <v>278000.0</v>
      </c>
      <c r="F15" s="5" t="s">
        <v>102</v>
      </c>
      <c r="G15" s="11" t="s">
        <v>79</v>
      </c>
      <c r="H15" s="20"/>
      <c r="I15" s="20"/>
      <c r="J15" s="20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.0" customHeight="1">
      <c r="A16" s="5" t="s">
        <v>664</v>
      </c>
      <c r="B16" s="6">
        <v>1.0</v>
      </c>
      <c r="C16" s="5" t="s">
        <v>754</v>
      </c>
      <c r="D16" s="6">
        <v>1.0</v>
      </c>
      <c r="E16" s="14">
        <v>1211000.0</v>
      </c>
      <c r="F16" s="5" t="s">
        <v>344</v>
      </c>
      <c r="G16" s="11" t="s">
        <v>79</v>
      </c>
      <c r="H16" s="20"/>
      <c r="I16" s="20"/>
      <c r="J16" s="20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.0" customHeight="1">
      <c r="A17" s="5" t="s">
        <v>689</v>
      </c>
      <c r="B17" s="6">
        <v>1.0</v>
      </c>
      <c r="C17" s="5" t="s">
        <v>756</v>
      </c>
      <c r="D17" s="6">
        <v>4.0</v>
      </c>
      <c r="E17" s="14">
        <v>2461000.0</v>
      </c>
      <c r="F17" s="5" t="s">
        <v>406</v>
      </c>
      <c r="G17" s="11" t="s">
        <v>79</v>
      </c>
      <c r="H17" s="20"/>
      <c r="I17" s="20"/>
      <c r="J17" s="20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8.0" customHeight="1">
      <c r="A18" s="5" t="s">
        <v>696</v>
      </c>
      <c r="B18" s="6">
        <v>1.0</v>
      </c>
      <c r="C18" s="5" t="s">
        <v>756</v>
      </c>
      <c r="D18" s="6">
        <v>5.0</v>
      </c>
      <c r="E18" s="14">
        <v>3559000.0</v>
      </c>
      <c r="F18" s="5" t="s">
        <v>406</v>
      </c>
      <c r="G18" s="11" t="s">
        <v>79</v>
      </c>
      <c r="H18" s="20"/>
      <c r="I18" s="20"/>
      <c r="J18" s="20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8.0" customHeight="1">
      <c r="A19" s="5" t="s">
        <v>699</v>
      </c>
      <c r="B19" s="6">
        <v>1.0</v>
      </c>
      <c r="C19" s="5" t="s">
        <v>753</v>
      </c>
      <c r="D19" s="6">
        <v>1.0</v>
      </c>
      <c r="E19" s="14">
        <v>1094000.0</v>
      </c>
      <c r="F19" s="5" t="s">
        <v>258</v>
      </c>
      <c r="G19" s="11" t="s">
        <v>79</v>
      </c>
      <c r="H19" s="20"/>
      <c r="I19" s="20"/>
      <c r="J19" s="20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8.0" customHeight="1">
      <c r="A20" s="5" t="s">
        <v>703</v>
      </c>
      <c r="B20" s="6">
        <v>1.0</v>
      </c>
      <c r="C20" s="5" t="s">
        <v>754</v>
      </c>
      <c r="D20" s="6">
        <v>1.0</v>
      </c>
      <c r="E20" s="14">
        <v>1477000.0</v>
      </c>
      <c r="F20" s="5" t="s">
        <v>344</v>
      </c>
      <c r="G20" s="11" t="s">
        <v>79</v>
      </c>
      <c r="H20" s="20"/>
      <c r="I20" s="20"/>
      <c r="J20" s="20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8.0" customHeight="1">
      <c r="A21" s="5" t="s">
        <v>709</v>
      </c>
      <c r="B21" s="6">
        <v>1.0</v>
      </c>
      <c r="C21" s="5" t="s">
        <v>756</v>
      </c>
      <c r="D21" s="6">
        <v>2.0</v>
      </c>
      <c r="E21" s="14">
        <v>787000.0</v>
      </c>
      <c r="F21" s="5" t="s">
        <v>406</v>
      </c>
      <c r="G21" s="11" t="s">
        <v>79</v>
      </c>
      <c r="H21" s="20"/>
      <c r="I21" s="20"/>
      <c r="J21" s="20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8.0" customHeight="1">
      <c r="A22" s="5" t="s">
        <v>712</v>
      </c>
      <c r="B22" s="6">
        <v>1.0</v>
      </c>
      <c r="C22" s="5" t="s">
        <v>754</v>
      </c>
      <c r="D22" s="6">
        <v>1.0</v>
      </c>
      <c r="E22" s="14">
        <v>592000.0</v>
      </c>
      <c r="F22" s="5" t="s">
        <v>344</v>
      </c>
      <c r="G22" s="11" t="s">
        <v>79</v>
      </c>
      <c r="H22" s="20"/>
      <c r="I22" s="20"/>
      <c r="J22" s="20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8.0" customHeight="1">
      <c r="A23" s="5" t="s">
        <v>714</v>
      </c>
      <c r="B23" s="6">
        <v>1.0</v>
      </c>
      <c r="C23" s="5" t="s">
        <v>756</v>
      </c>
      <c r="D23" s="6">
        <v>4.0</v>
      </c>
      <c r="E23" s="14">
        <v>513000.0</v>
      </c>
      <c r="F23" s="5" t="s">
        <v>406</v>
      </c>
      <c r="G23" s="11" t="s">
        <v>79</v>
      </c>
      <c r="H23" s="20"/>
      <c r="I23" s="20"/>
      <c r="J23" s="20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8.0" customHeight="1">
      <c r="A24" s="5" t="s">
        <v>717</v>
      </c>
      <c r="B24" s="6">
        <v>1.0</v>
      </c>
      <c r="C24" s="5" t="s">
        <v>750</v>
      </c>
      <c r="D24" s="6">
        <v>1.0</v>
      </c>
      <c r="E24" s="14">
        <v>3925000.0</v>
      </c>
      <c r="F24" s="5" t="s">
        <v>102</v>
      </c>
      <c r="G24" s="11" t="s">
        <v>79</v>
      </c>
      <c r="H24" s="20"/>
      <c r="I24" s="20"/>
      <c r="J24" s="20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8.0" customHeight="1">
      <c r="A25" s="5" t="s">
        <v>722</v>
      </c>
      <c r="B25" s="6">
        <v>1.0</v>
      </c>
      <c r="C25" s="5" t="s">
        <v>756</v>
      </c>
      <c r="D25" s="6">
        <v>6.0</v>
      </c>
      <c r="E25" s="14">
        <v>1944000.0</v>
      </c>
      <c r="F25" s="5" t="s">
        <v>406</v>
      </c>
      <c r="G25" s="11" t="s">
        <v>79</v>
      </c>
      <c r="H25" s="20"/>
      <c r="I25" s="20"/>
      <c r="J25" s="20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.0" customHeight="1">
      <c r="A26" s="5" t="s">
        <v>725</v>
      </c>
      <c r="B26" s="6">
        <v>1.0</v>
      </c>
      <c r="C26" s="5" t="s">
        <v>753</v>
      </c>
      <c r="D26" s="6">
        <v>1.0</v>
      </c>
      <c r="E26" s="14">
        <v>2757000.0</v>
      </c>
      <c r="F26" s="5" t="s">
        <v>258</v>
      </c>
      <c r="G26" s="11" t="s">
        <v>79</v>
      </c>
      <c r="H26" s="20"/>
      <c r="I26" s="20"/>
      <c r="J26" s="20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8.0" customHeight="1">
      <c r="A27" s="5" t="s">
        <v>731</v>
      </c>
      <c r="B27" s="6">
        <v>1.0</v>
      </c>
      <c r="C27" s="5" t="s">
        <v>756</v>
      </c>
      <c r="D27" s="6">
        <v>2.0</v>
      </c>
      <c r="E27" s="14">
        <v>1496000.0</v>
      </c>
      <c r="F27" s="5" t="s">
        <v>406</v>
      </c>
      <c r="G27" s="11" t="s">
        <v>79</v>
      </c>
      <c r="H27" s="20"/>
      <c r="I27" s="20"/>
      <c r="J27" s="20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.0" customHeight="1">
      <c r="A28" s="5" t="s">
        <v>734</v>
      </c>
      <c r="B28" s="6">
        <v>1.0</v>
      </c>
      <c r="C28" s="5" t="s">
        <v>753</v>
      </c>
      <c r="D28" s="6">
        <v>1.0</v>
      </c>
      <c r="E28" s="14">
        <v>2377000.0</v>
      </c>
      <c r="F28" s="5" t="s">
        <v>258</v>
      </c>
      <c r="G28" s="11" t="s">
        <v>79</v>
      </c>
      <c r="H28" s="20"/>
      <c r="I28" s="20"/>
      <c r="J28" s="20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8.0" customHeight="1">
      <c r="A29" s="5" t="s">
        <v>739</v>
      </c>
      <c r="B29" s="6">
        <v>1.0</v>
      </c>
      <c r="C29" s="5" t="s">
        <v>756</v>
      </c>
      <c r="D29" s="6">
        <v>4.0</v>
      </c>
      <c r="E29" s="14">
        <v>4481000.0</v>
      </c>
      <c r="F29" s="5" t="s">
        <v>406</v>
      </c>
      <c r="G29" s="11" t="s">
        <v>79</v>
      </c>
      <c r="H29" s="20"/>
      <c r="I29" s="20"/>
      <c r="J29" s="20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8.0" customHeight="1">
      <c r="A30" s="5" t="s">
        <v>748</v>
      </c>
      <c r="B30" s="6">
        <v>1.0</v>
      </c>
      <c r="C30" s="5" t="s">
        <v>753</v>
      </c>
      <c r="D30" s="6">
        <v>1.0</v>
      </c>
      <c r="E30" s="14">
        <v>2282000.0</v>
      </c>
      <c r="F30" s="5" t="s">
        <v>258</v>
      </c>
      <c r="G30" s="11" t="s">
        <v>79</v>
      </c>
      <c r="H30" s="20"/>
      <c r="I30" s="20"/>
      <c r="J30" s="20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8.0" customHeight="1">
      <c r="A31" s="5" t="s">
        <v>757</v>
      </c>
      <c r="B31" s="6">
        <v>1.0</v>
      </c>
      <c r="C31" s="5" t="s">
        <v>753</v>
      </c>
      <c r="D31" s="6">
        <v>1.0</v>
      </c>
      <c r="E31" s="14">
        <v>943000.0</v>
      </c>
      <c r="F31" s="5" t="s">
        <v>258</v>
      </c>
      <c r="G31" s="11" t="s">
        <v>79</v>
      </c>
      <c r="H31" s="20"/>
      <c r="I31" s="20"/>
      <c r="J31" s="20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8.0" customHeight="1">
      <c r="A32" s="5" t="s">
        <v>761</v>
      </c>
      <c r="B32" s="6">
        <v>1.0</v>
      </c>
      <c r="C32" s="5" t="s">
        <v>756</v>
      </c>
      <c r="D32" s="6">
        <v>1.0</v>
      </c>
      <c r="E32" s="14">
        <v>3001000.0</v>
      </c>
      <c r="F32" s="5" t="s">
        <v>406</v>
      </c>
      <c r="G32" s="11" t="s">
        <v>79</v>
      </c>
      <c r="H32" s="20"/>
      <c r="I32" s="20"/>
      <c r="J32" s="20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8.0" customHeight="1">
      <c r="A33" s="5" t="s">
        <v>766</v>
      </c>
      <c r="B33" s="6">
        <v>1.0</v>
      </c>
      <c r="C33" s="5" t="s">
        <v>753</v>
      </c>
      <c r="D33" s="6">
        <v>1.0</v>
      </c>
      <c r="E33" s="14">
        <v>2705000.0</v>
      </c>
      <c r="F33" s="5" t="s">
        <v>258</v>
      </c>
      <c r="G33" s="11" t="s">
        <v>79</v>
      </c>
      <c r="H33" s="20"/>
      <c r="I33" s="20"/>
      <c r="J33" s="20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8.0" customHeight="1">
      <c r="A34" s="5" t="s">
        <v>772</v>
      </c>
      <c r="B34" s="6">
        <v>1.0</v>
      </c>
      <c r="C34" s="5" t="s">
        <v>753</v>
      </c>
      <c r="D34" s="6">
        <v>1.0</v>
      </c>
      <c r="E34" s="14">
        <v>1450000.0</v>
      </c>
      <c r="F34" s="5" t="s">
        <v>258</v>
      </c>
      <c r="G34" s="11" t="s">
        <v>79</v>
      </c>
      <c r="H34" s="20"/>
      <c r="I34" s="20"/>
      <c r="J34" s="20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8.0" customHeight="1">
      <c r="A35" s="5" t="s">
        <v>775</v>
      </c>
      <c r="B35" s="6">
        <v>1.0</v>
      </c>
      <c r="C35" s="5" t="s">
        <v>756</v>
      </c>
      <c r="D35" s="6">
        <v>4.0</v>
      </c>
      <c r="E35" s="14">
        <v>1724000.0</v>
      </c>
      <c r="F35" s="5" t="s">
        <v>406</v>
      </c>
      <c r="G35" s="11" t="s">
        <v>79</v>
      </c>
      <c r="H35" s="20"/>
      <c r="I35" s="20"/>
      <c r="J35" s="20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8.0" customHeight="1">
      <c r="A36" s="5" t="s">
        <v>778</v>
      </c>
      <c r="B36" s="6">
        <v>1.0</v>
      </c>
      <c r="C36" s="5" t="s">
        <v>754</v>
      </c>
      <c r="D36" s="6">
        <v>1.0</v>
      </c>
      <c r="E36" s="14">
        <v>1377000.0</v>
      </c>
      <c r="F36" s="5" t="s">
        <v>344</v>
      </c>
      <c r="G36" s="11" t="s">
        <v>79</v>
      </c>
      <c r="H36" s="20"/>
      <c r="I36" s="20"/>
      <c r="J36" s="20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8.0" customHeight="1">
      <c r="A37" s="5" t="s">
        <v>780</v>
      </c>
      <c r="B37" s="6">
        <v>1.0</v>
      </c>
      <c r="C37" s="5" t="s">
        <v>754</v>
      </c>
      <c r="D37" s="6">
        <v>1.0</v>
      </c>
      <c r="E37" s="14">
        <v>772000.0</v>
      </c>
      <c r="F37" s="5" t="s">
        <v>344</v>
      </c>
      <c r="G37" s="11" t="s">
        <v>79</v>
      </c>
      <c r="H37" s="20"/>
      <c r="I37" s="20"/>
      <c r="J37" s="20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8.0" customHeight="1">
      <c r="A38" s="5" t="s">
        <v>783</v>
      </c>
      <c r="B38" s="6">
        <v>1.0</v>
      </c>
      <c r="C38" s="5" t="s">
        <v>756</v>
      </c>
      <c r="D38" s="6">
        <v>1.0</v>
      </c>
      <c r="E38" s="14">
        <v>2085000.0</v>
      </c>
      <c r="F38" s="5" t="s">
        <v>406</v>
      </c>
      <c r="G38" s="11" t="s">
        <v>79</v>
      </c>
      <c r="H38" s="20"/>
      <c r="I38" s="20"/>
      <c r="J38" s="20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8.0" customHeight="1">
      <c r="A39" s="5" t="s">
        <v>786</v>
      </c>
      <c r="B39" s="6">
        <v>1.0</v>
      </c>
      <c r="C39" s="5" t="s">
        <v>753</v>
      </c>
      <c r="D39" s="6">
        <v>1.0</v>
      </c>
      <c r="E39" s="14">
        <v>1109000.0</v>
      </c>
      <c r="F39" s="5" t="s">
        <v>258</v>
      </c>
      <c r="G39" s="11" t="s">
        <v>79</v>
      </c>
      <c r="H39" s="20"/>
      <c r="I39" s="20"/>
      <c r="J39" s="20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8.0" customHeight="1">
      <c r="A40" s="5" t="s">
        <v>790</v>
      </c>
      <c r="B40" s="6">
        <v>1.0</v>
      </c>
      <c r="C40" s="5" t="s">
        <v>756</v>
      </c>
      <c r="D40" s="6">
        <v>3.0</v>
      </c>
      <c r="E40" s="14">
        <v>1475000.0</v>
      </c>
      <c r="F40" s="5" t="s">
        <v>406</v>
      </c>
      <c r="G40" s="11" t="s">
        <v>79</v>
      </c>
      <c r="H40" s="20"/>
      <c r="I40" s="20"/>
      <c r="J40" s="20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8.0" customHeight="1">
      <c r="A41" s="5" t="s">
        <v>793</v>
      </c>
      <c r="B41" s="6">
        <v>1.0</v>
      </c>
      <c r="C41" s="5" t="s">
        <v>750</v>
      </c>
      <c r="D41" s="6">
        <v>1.0</v>
      </c>
      <c r="E41" s="14">
        <v>1695000.0</v>
      </c>
      <c r="F41" s="5" t="s">
        <v>102</v>
      </c>
      <c r="G41" s="11" t="s">
        <v>79</v>
      </c>
      <c r="H41" s="20"/>
      <c r="I41" s="20"/>
      <c r="J41" s="20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8.0" customHeight="1">
      <c r="A42" s="5" t="s">
        <v>794</v>
      </c>
      <c r="B42" s="6">
        <v>1.0</v>
      </c>
      <c r="C42" s="5" t="s">
        <v>750</v>
      </c>
      <c r="D42" s="6">
        <v>1.0</v>
      </c>
      <c r="E42" s="14">
        <v>4189000.0</v>
      </c>
      <c r="F42" s="5" t="s">
        <v>102</v>
      </c>
      <c r="G42" s="11" t="s">
        <v>79</v>
      </c>
      <c r="H42" s="20"/>
      <c r="I42" s="20"/>
      <c r="J42" s="20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8.0" customHeight="1">
      <c r="A43" s="5" t="s">
        <v>796</v>
      </c>
      <c r="B43" s="6">
        <v>1.0</v>
      </c>
      <c r="C43" s="5" t="s">
        <v>756</v>
      </c>
      <c r="D43" s="6">
        <v>6.0</v>
      </c>
      <c r="E43" s="14">
        <v>509000.0</v>
      </c>
      <c r="F43" s="5" t="s">
        <v>406</v>
      </c>
      <c r="G43" s="11" t="s">
        <v>79</v>
      </c>
      <c r="H43" s="20"/>
      <c r="I43" s="20"/>
      <c r="J43" s="20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8.0" customHeight="1">
      <c r="A44" s="5" t="s">
        <v>797</v>
      </c>
      <c r="B44" s="6">
        <v>1.0</v>
      </c>
      <c r="C44" s="5" t="s">
        <v>754</v>
      </c>
      <c r="D44" s="6">
        <v>1.0</v>
      </c>
      <c r="E44" s="14">
        <v>2069000.0</v>
      </c>
      <c r="F44" s="5" t="s">
        <v>344</v>
      </c>
      <c r="G44" s="11" t="s">
        <v>79</v>
      </c>
      <c r="H44" s="20"/>
      <c r="I44" s="20"/>
      <c r="J44" s="20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8.0" customHeight="1">
      <c r="A45" s="5" t="s">
        <v>799</v>
      </c>
      <c r="B45" s="6">
        <v>1.0</v>
      </c>
      <c r="C45" s="5" t="s">
        <v>756</v>
      </c>
      <c r="D45" s="6">
        <v>2.0</v>
      </c>
      <c r="E45" s="14">
        <v>916000.0</v>
      </c>
      <c r="F45" s="5" t="s">
        <v>406</v>
      </c>
      <c r="G45" s="11" t="s">
        <v>79</v>
      </c>
      <c r="H45" s="20"/>
      <c r="I45" s="20"/>
      <c r="J45" s="20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8.0" customHeight="1">
      <c r="A46" s="5" t="s">
        <v>802</v>
      </c>
      <c r="B46" s="6">
        <v>1.0</v>
      </c>
      <c r="C46" s="5" t="s">
        <v>754</v>
      </c>
      <c r="D46" s="6">
        <v>1.0</v>
      </c>
      <c r="E46" s="14">
        <v>992000.0</v>
      </c>
      <c r="F46" s="5" t="s">
        <v>344</v>
      </c>
      <c r="G46" s="11" t="s">
        <v>79</v>
      </c>
      <c r="H46" s="20"/>
      <c r="I46" s="20"/>
      <c r="J46" s="20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8.0" customHeight="1">
      <c r="A47" s="5" t="s">
        <v>804</v>
      </c>
      <c r="B47" s="6">
        <v>1.0</v>
      </c>
      <c r="C47" s="5" t="s">
        <v>753</v>
      </c>
      <c r="D47" s="6">
        <v>1.0</v>
      </c>
      <c r="E47" s="14">
        <v>918000.0</v>
      </c>
      <c r="F47" s="5" t="s">
        <v>258</v>
      </c>
      <c r="G47" s="11" t="s">
        <v>79</v>
      </c>
      <c r="H47" s="20"/>
      <c r="I47" s="20"/>
      <c r="J47" s="20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8.0" customHeight="1">
      <c r="A48" s="5" t="s">
        <v>806</v>
      </c>
      <c r="B48" s="6">
        <v>1.0</v>
      </c>
      <c r="C48" s="5" t="s">
        <v>754</v>
      </c>
      <c r="D48" s="6">
        <v>1.0</v>
      </c>
      <c r="E48" s="14">
        <v>454000.0</v>
      </c>
      <c r="F48" s="5" t="s">
        <v>344</v>
      </c>
      <c r="G48" s="11" t="s">
        <v>79</v>
      </c>
      <c r="H48" s="20"/>
      <c r="I48" s="20"/>
      <c r="J48" s="20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8.0" customHeight="1">
      <c r="A49" s="5" t="s">
        <v>807</v>
      </c>
      <c r="B49" s="6">
        <v>1.0</v>
      </c>
      <c r="C49" s="5" t="s">
        <v>750</v>
      </c>
      <c r="D49" s="6">
        <v>1.0</v>
      </c>
      <c r="E49" s="14">
        <v>688000.0</v>
      </c>
      <c r="F49" s="5" t="s">
        <v>102</v>
      </c>
      <c r="G49" s="11" t="s">
        <v>79</v>
      </c>
      <c r="H49" s="20"/>
      <c r="I49" s="20"/>
      <c r="J49" s="20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8.0" customHeight="1">
      <c r="A50" s="5" t="s">
        <v>809</v>
      </c>
      <c r="B50" s="6">
        <v>1.0</v>
      </c>
      <c r="C50" s="5" t="s">
        <v>754</v>
      </c>
      <c r="D50" s="6">
        <v>1.0</v>
      </c>
      <c r="E50" s="14">
        <v>582000.0</v>
      </c>
      <c r="F50" s="5" t="s">
        <v>344</v>
      </c>
      <c r="G50" s="11" t="s">
        <v>79</v>
      </c>
      <c r="H50" s="20"/>
      <c r="I50" s="20"/>
      <c r="J50" s="20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8.0" customHeight="1">
      <c r="A51" s="5" t="s">
        <v>810</v>
      </c>
      <c r="B51" s="6">
        <v>1.0</v>
      </c>
      <c r="C51" s="5" t="s">
        <v>754</v>
      </c>
      <c r="D51" s="6">
        <v>1.0</v>
      </c>
      <c r="E51" s="14">
        <v>3159000.0</v>
      </c>
      <c r="F51" s="5" t="s">
        <v>344</v>
      </c>
      <c r="G51" s="11" t="s">
        <v>79</v>
      </c>
      <c r="H51" s="20"/>
      <c r="I51" s="20"/>
      <c r="J51" s="20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8.0" customHeight="1">
      <c r="A52" s="5" t="s">
        <v>812</v>
      </c>
      <c r="B52" s="6">
        <v>1.0</v>
      </c>
      <c r="C52" s="5" t="s">
        <v>754</v>
      </c>
      <c r="D52" s="6">
        <v>1.0</v>
      </c>
      <c r="E52" s="14">
        <v>2031000.0</v>
      </c>
      <c r="F52" s="5" t="s">
        <v>344</v>
      </c>
      <c r="G52" s="11" t="s">
        <v>79</v>
      </c>
      <c r="H52" s="20"/>
      <c r="I52" s="20"/>
      <c r="J52" s="20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8.0" customHeight="1">
      <c r="A53" s="5" t="s">
        <v>813</v>
      </c>
      <c r="B53" s="6">
        <v>1.0</v>
      </c>
      <c r="C53" s="5" t="s">
        <v>753</v>
      </c>
      <c r="D53" s="6">
        <v>1.0</v>
      </c>
      <c r="E53" s="14">
        <v>1357000.0</v>
      </c>
      <c r="F53" s="5" t="s">
        <v>258</v>
      </c>
      <c r="G53" s="11" t="s">
        <v>79</v>
      </c>
      <c r="H53" s="20"/>
      <c r="I53" s="20"/>
      <c r="J53" s="20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8.0" customHeight="1">
      <c r="A54" s="5" t="s">
        <v>815</v>
      </c>
      <c r="B54" s="6">
        <v>1.0</v>
      </c>
      <c r="C54" s="5" t="s">
        <v>750</v>
      </c>
      <c r="D54" s="6">
        <v>1.0</v>
      </c>
      <c r="E54" s="14">
        <v>837000.0</v>
      </c>
      <c r="F54" s="5" t="s">
        <v>102</v>
      </c>
      <c r="G54" s="11" t="s">
        <v>79</v>
      </c>
      <c r="H54" s="20"/>
      <c r="I54" s="20"/>
      <c r="J54" s="20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8.0" customHeight="1">
      <c r="A55" s="5" t="s">
        <v>816</v>
      </c>
      <c r="B55" s="6">
        <v>1.0</v>
      </c>
      <c r="C55" s="5" t="s">
        <v>756</v>
      </c>
      <c r="D55" s="6">
        <v>6.0</v>
      </c>
      <c r="E55" s="14">
        <v>447000.0</v>
      </c>
      <c r="F55" s="5" t="s">
        <v>406</v>
      </c>
      <c r="G55" s="11" t="s">
        <v>79</v>
      </c>
      <c r="H55" s="20"/>
      <c r="I55" s="20"/>
      <c r="J55" s="20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8.0" customHeight="1">
      <c r="A56" s="5" t="s">
        <v>818</v>
      </c>
      <c r="B56" s="6">
        <v>1.0</v>
      </c>
      <c r="C56" s="5" t="s">
        <v>754</v>
      </c>
      <c r="D56" s="6">
        <v>1.0</v>
      </c>
      <c r="E56" s="14">
        <v>996000.0</v>
      </c>
      <c r="F56" s="5" t="s">
        <v>344</v>
      </c>
      <c r="G56" s="11" t="s">
        <v>79</v>
      </c>
      <c r="H56" s="20"/>
      <c r="I56" s="20"/>
      <c r="J56" s="20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8.0" customHeight="1">
      <c r="A57" s="5" t="s">
        <v>819</v>
      </c>
      <c r="B57" s="6">
        <v>1.0</v>
      </c>
      <c r="C57" s="5" t="s">
        <v>756</v>
      </c>
      <c r="D57" s="6">
        <v>2.0</v>
      </c>
      <c r="E57" s="14">
        <v>1411000.0</v>
      </c>
      <c r="F57" s="5" t="s">
        <v>406</v>
      </c>
      <c r="G57" s="11" t="s">
        <v>79</v>
      </c>
      <c r="H57" s="20"/>
      <c r="I57" s="20"/>
      <c r="J57" s="20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8.0" customHeight="1">
      <c r="A58" s="5" t="s">
        <v>821</v>
      </c>
      <c r="B58" s="6">
        <v>1.0</v>
      </c>
      <c r="C58" s="5" t="s">
        <v>756</v>
      </c>
      <c r="D58" s="6">
        <v>3.0</v>
      </c>
      <c r="E58" s="14">
        <v>2428000.0</v>
      </c>
      <c r="F58" s="5" t="s">
        <v>406</v>
      </c>
      <c r="G58" s="11" t="s">
        <v>79</v>
      </c>
      <c r="H58" s="20"/>
      <c r="I58" s="20"/>
      <c r="J58" s="20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8.0" customHeight="1">
      <c r="A59" s="5" t="s">
        <v>823</v>
      </c>
      <c r="B59" s="6">
        <v>1.0</v>
      </c>
      <c r="C59" s="5" t="s">
        <v>750</v>
      </c>
      <c r="D59" s="6">
        <v>1.0</v>
      </c>
      <c r="E59" s="14">
        <v>3039000.0</v>
      </c>
      <c r="F59" s="5" t="s">
        <v>102</v>
      </c>
      <c r="G59" s="11" t="s">
        <v>79</v>
      </c>
      <c r="H59" s="20"/>
      <c r="I59" s="20"/>
      <c r="J59" s="20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8.0" customHeight="1">
      <c r="A60" s="5" t="s">
        <v>824</v>
      </c>
      <c r="B60" s="6">
        <v>1.0</v>
      </c>
      <c r="C60" s="5" t="s">
        <v>754</v>
      </c>
      <c r="D60" s="6">
        <v>1.0</v>
      </c>
      <c r="E60" s="14">
        <v>717000.0</v>
      </c>
      <c r="F60" s="5" t="s">
        <v>344</v>
      </c>
      <c r="G60" s="11" t="s">
        <v>79</v>
      </c>
      <c r="H60" s="20"/>
      <c r="I60" s="20"/>
      <c r="J60" s="20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8.0" customHeight="1">
      <c r="A61" s="5" t="s">
        <v>826</v>
      </c>
      <c r="B61" s="6">
        <v>1.0</v>
      </c>
      <c r="C61" s="5" t="s">
        <v>753</v>
      </c>
      <c r="D61" s="6">
        <v>1.0</v>
      </c>
      <c r="E61" s="14">
        <v>2209000.0</v>
      </c>
      <c r="F61" s="5" t="s">
        <v>258</v>
      </c>
      <c r="G61" s="11" t="s">
        <v>79</v>
      </c>
      <c r="H61" s="20"/>
      <c r="I61" s="20"/>
      <c r="J61" s="20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8.0" customHeight="1">
      <c r="A62" s="5" t="s">
        <v>827</v>
      </c>
      <c r="B62" s="6">
        <v>1.0</v>
      </c>
      <c r="C62" s="5" t="s">
        <v>756</v>
      </c>
      <c r="D62" s="6">
        <v>1.0</v>
      </c>
      <c r="E62" s="14">
        <v>1889000.0</v>
      </c>
      <c r="F62" s="5" t="s">
        <v>406</v>
      </c>
      <c r="G62" s="11" t="s">
        <v>79</v>
      </c>
      <c r="H62" s="20"/>
      <c r="I62" s="20"/>
      <c r="J62" s="20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8.0" customHeight="1">
      <c r="A63" s="5" t="s">
        <v>829</v>
      </c>
      <c r="B63" s="6">
        <v>1.0</v>
      </c>
      <c r="C63" s="5" t="s">
        <v>754</v>
      </c>
      <c r="D63" s="6">
        <v>1.0</v>
      </c>
      <c r="E63" s="14">
        <v>2329000.0</v>
      </c>
      <c r="F63" s="5" t="s">
        <v>344</v>
      </c>
      <c r="G63" s="11" t="s">
        <v>79</v>
      </c>
      <c r="H63" s="20"/>
      <c r="I63" s="20"/>
      <c r="J63" s="20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8.0" customHeight="1">
      <c r="A64" s="5" t="s">
        <v>830</v>
      </c>
      <c r="B64" s="6">
        <v>1.0</v>
      </c>
      <c r="C64" s="5" t="s">
        <v>754</v>
      </c>
      <c r="D64" s="6">
        <v>1.0</v>
      </c>
      <c r="E64" s="14">
        <v>2937000.0</v>
      </c>
      <c r="F64" s="5" t="s">
        <v>344</v>
      </c>
      <c r="G64" s="11" t="s">
        <v>79</v>
      </c>
      <c r="H64" s="20"/>
      <c r="I64" s="20"/>
      <c r="J64" s="20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8.0" customHeight="1">
      <c r="A65" s="5" t="s">
        <v>832</v>
      </c>
      <c r="B65" s="6">
        <v>1.0</v>
      </c>
      <c r="C65" s="5" t="s">
        <v>750</v>
      </c>
      <c r="D65" s="6">
        <v>1.0</v>
      </c>
      <c r="E65" s="14">
        <v>2381000.0</v>
      </c>
      <c r="F65" s="5" t="s">
        <v>102</v>
      </c>
      <c r="G65" s="11" t="s">
        <v>79</v>
      </c>
      <c r="H65" s="20"/>
      <c r="I65" s="20"/>
      <c r="J65" s="20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8.0" customHeight="1">
      <c r="A66" s="5" t="s">
        <v>833</v>
      </c>
      <c r="B66" s="6">
        <v>1.0</v>
      </c>
      <c r="C66" s="5" t="s">
        <v>756</v>
      </c>
      <c r="D66" s="6">
        <v>5.0</v>
      </c>
      <c r="E66" s="14">
        <v>879000.0</v>
      </c>
      <c r="F66" s="5" t="s">
        <v>406</v>
      </c>
      <c r="G66" s="11" t="s">
        <v>79</v>
      </c>
      <c r="H66" s="20"/>
      <c r="I66" s="20"/>
      <c r="J66" s="20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8.0" customHeight="1">
      <c r="A67" s="5" t="s">
        <v>835</v>
      </c>
      <c r="B67" s="6">
        <v>1.0</v>
      </c>
      <c r="C67" s="5" t="s">
        <v>753</v>
      </c>
      <c r="D67" s="6">
        <v>1.0</v>
      </c>
      <c r="E67" s="14">
        <v>1402000.0</v>
      </c>
      <c r="F67" s="5" t="s">
        <v>258</v>
      </c>
      <c r="G67" s="11" t="s">
        <v>79</v>
      </c>
      <c r="H67" s="20"/>
      <c r="I67" s="20"/>
      <c r="J67" s="20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8.0" customHeight="1">
      <c r="A68" s="5" t="s">
        <v>836</v>
      </c>
      <c r="B68" s="6">
        <v>1.0</v>
      </c>
      <c r="C68" s="5" t="s">
        <v>754</v>
      </c>
      <c r="D68" s="6">
        <v>1.0</v>
      </c>
      <c r="E68" s="14">
        <v>2351000.0</v>
      </c>
      <c r="F68" s="5" t="s">
        <v>344</v>
      </c>
      <c r="G68" s="11" t="s">
        <v>79</v>
      </c>
      <c r="H68" s="20"/>
      <c r="I68" s="20"/>
      <c r="J68" s="20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8.0" customHeight="1">
      <c r="A69" s="5" t="s">
        <v>838</v>
      </c>
      <c r="B69" s="6">
        <v>1.0</v>
      </c>
      <c r="C69" s="5" t="s">
        <v>750</v>
      </c>
      <c r="D69" s="6">
        <v>1.0</v>
      </c>
      <c r="E69" s="14">
        <v>1243000.0</v>
      </c>
      <c r="F69" s="5" t="s">
        <v>102</v>
      </c>
      <c r="G69" s="11" t="s">
        <v>79</v>
      </c>
      <c r="H69" s="20"/>
      <c r="I69" s="20"/>
      <c r="J69" s="20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8.0" customHeight="1">
      <c r="A70" s="5" t="s">
        <v>839</v>
      </c>
      <c r="B70" s="6">
        <v>1.0</v>
      </c>
      <c r="C70" s="5" t="s">
        <v>754</v>
      </c>
      <c r="D70" s="6">
        <v>1.0</v>
      </c>
      <c r="E70" s="14">
        <v>2315000.0</v>
      </c>
      <c r="F70" s="5" t="s">
        <v>344</v>
      </c>
      <c r="G70" s="11" t="s">
        <v>79</v>
      </c>
      <c r="H70" s="20"/>
      <c r="I70" s="20"/>
      <c r="J70" s="20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8.0" customHeight="1">
      <c r="A71" s="5" t="s">
        <v>841</v>
      </c>
      <c r="B71" s="6">
        <v>1.0</v>
      </c>
      <c r="C71" s="5" t="s">
        <v>756</v>
      </c>
      <c r="D71" s="6">
        <v>4.0</v>
      </c>
      <c r="E71" s="14">
        <v>1285000.0</v>
      </c>
      <c r="F71" s="5" t="s">
        <v>406</v>
      </c>
      <c r="G71" s="11" t="s">
        <v>79</v>
      </c>
      <c r="H71" s="20"/>
      <c r="I71" s="20"/>
      <c r="J71" s="20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8.0" customHeight="1">
      <c r="A72" s="5" t="s">
        <v>842</v>
      </c>
      <c r="B72" s="6">
        <v>1.0</v>
      </c>
      <c r="C72" s="5" t="s">
        <v>756</v>
      </c>
      <c r="D72" s="6">
        <v>5.0</v>
      </c>
      <c r="E72" s="14">
        <v>2001000.0</v>
      </c>
      <c r="F72" s="5" t="s">
        <v>406</v>
      </c>
      <c r="G72" s="11" t="s">
        <v>79</v>
      </c>
      <c r="H72" s="20"/>
      <c r="I72" s="20"/>
      <c r="J72" s="20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8.0" customHeight="1">
      <c r="A73" s="5" t="s">
        <v>844</v>
      </c>
      <c r="B73" s="6">
        <v>1.0</v>
      </c>
      <c r="C73" s="5" t="s">
        <v>753</v>
      </c>
      <c r="D73" s="6">
        <v>1.0</v>
      </c>
      <c r="E73" s="14">
        <v>562000.0</v>
      </c>
      <c r="F73" s="5" t="s">
        <v>258</v>
      </c>
      <c r="G73" s="11" t="s">
        <v>79</v>
      </c>
      <c r="H73" s="20"/>
      <c r="I73" s="20"/>
      <c r="J73" s="20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8.0" customHeight="1">
      <c r="A74" s="5" t="s">
        <v>845</v>
      </c>
      <c r="B74" s="6">
        <v>1.0</v>
      </c>
      <c r="C74" s="5" t="s">
        <v>754</v>
      </c>
      <c r="D74" s="6">
        <v>1.0</v>
      </c>
      <c r="E74" s="14">
        <v>995000.0</v>
      </c>
      <c r="F74" s="5" t="s">
        <v>344</v>
      </c>
      <c r="G74" s="11" t="s">
        <v>79</v>
      </c>
      <c r="H74" s="20"/>
      <c r="I74" s="20"/>
      <c r="J74" s="20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8.0" customHeight="1">
      <c r="A75" s="5" t="s">
        <v>847</v>
      </c>
      <c r="B75" s="6">
        <v>1.0</v>
      </c>
      <c r="C75" s="5" t="s">
        <v>750</v>
      </c>
      <c r="D75" s="6">
        <v>1.0</v>
      </c>
      <c r="E75" s="14">
        <v>562000.0</v>
      </c>
      <c r="F75" s="5" t="s">
        <v>102</v>
      </c>
      <c r="G75" s="11" t="s">
        <v>79</v>
      </c>
      <c r="H75" s="20"/>
      <c r="I75" s="20"/>
      <c r="J75" s="20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8.0" customHeight="1">
      <c r="A76" s="5" t="s">
        <v>848</v>
      </c>
      <c r="B76" s="6">
        <v>1.0</v>
      </c>
      <c r="C76" s="5" t="s">
        <v>750</v>
      </c>
      <c r="D76" s="6">
        <v>1.0</v>
      </c>
      <c r="E76" s="14">
        <v>180000.0</v>
      </c>
      <c r="F76" s="5" t="s">
        <v>102</v>
      </c>
      <c r="G76" s="11" t="s">
        <v>79</v>
      </c>
      <c r="H76" s="20"/>
      <c r="I76" s="20"/>
      <c r="J76" s="20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8.0" customHeight="1">
      <c r="A77" s="5" t="s">
        <v>850</v>
      </c>
      <c r="B77" s="6">
        <v>1.0</v>
      </c>
      <c r="C77" s="5" t="s">
        <v>750</v>
      </c>
      <c r="D77" s="6">
        <v>1.0</v>
      </c>
      <c r="E77" s="14">
        <v>1928000.0</v>
      </c>
      <c r="F77" s="5" t="s">
        <v>102</v>
      </c>
      <c r="G77" s="11" t="s">
        <v>79</v>
      </c>
      <c r="H77" s="20"/>
      <c r="I77" s="20"/>
      <c r="J77" s="20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8.0" customHeight="1">
      <c r="A78" s="5" t="s">
        <v>851</v>
      </c>
      <c r="B78" s="6">
        <v>1.0</v>
      </c>
      <c r="C78" s="5" t="s">
        <v>753</v>
      </c>
      <c r="D78" s="6">
        <v>1.0</v>
      </c>
      <c r="E78" s="14">
        <v>589000.0</v>
      </c>
      <c r="F78" s="5" t="s">
        <v>258</v>
      </c>
      <c r="G78" s="11" t="s">
        <v>79</v>
      </c>
      <c r="H78" s="20"/>
      <c r="I78" s="20"/>
      <c r="J78" s="20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8.0" customHeight="1">
      <c r="A79" s="5" t="s">
        <v>853</v>
      </c>
      <c r="B79" s="6">
        <v>1.0</v>
      </c>
      <c r="C79" s="5" t="s">
        <v>754</v>
      </c>
      <c r="D79" s="6">
        <v>1.0</v>
      </c>
      <c r="E79" s="14">
        <v>2618000.0</v>
      </c>
      <c r="F79" s="5" t="s">
        <v>344</v>
      </c>
      <c r="G79" s="11" t="s">
        <v>79</v>
      </c>
      <c r="H79" s="20"/>
      <c r="I79" s="20"/>
      <c r="J79" s="20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8.0" customHeight="1">
      <c r="A80" s="5" t="s">
        <v>855</v>
      </c>
      <c r="B80" s="6">
        <v>1.0</v>
      </c>
      <c r="C80" s="5" t="s">
        <v>750</v>
      </c>
      <c r="D80" s="6">
        <v>1.0</v>
      </c>
      <c r="E80" s="14">
        <v>3241000.0</v>
      </c>
      <c r="F80" s="5" t="s">
        <v>102</v>
      </c>
      <c r="G80" s="11" t="s">
        <v>79</v>
      </c>
      <c r="H80" s="20"/>
      <c r="I80" s="20"/>
      <c r="J80" s="20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8.0" customHeight="1">
      <c r="A81" s="5" t="s">
        <v>856</v>
      </c>
      <c r="B81" s="6">
        <v>1.0</v>
      </c>
      <c r="C81" s="5" t="s">
        <v>750</v>
      </c>
      <c r="D81" s="6">
        <v>1.0</v>
      </c>
      <c r="E81" s="14">
        <v>938000.0</v>
      </c>
      <c r="F81" s="5" t="s">
        <v>102</v>
      </c>
      <c r="G81" s="11" t="s">
        <v>79</v>
      </c>
      <c r="H81" s="20"/>
      <c r="I81" s="20"/>
      <c r="J81" s="20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8.0" customHeight="1">
      <c r="A82" s="5" t="s">
        <v>858</v>
      </c>
      <c r="B82" s="6">
        <v>1.0</v>
      </c>
      <c r="C82" s="5" t="s">
        <v>753</v>
      </c>
      <c r="D82" s="6">
        <v>1.0</v>
      </c>
      <c r="E82" s="14">
        <v>1957000.0</v>
      </c>
      <c r="F82" s="5" t="s">
        <v>258</v>
      </c>
      <c r="G82" s="11" t="s">
        <v>79</v>
      </c>
      <c r="H82" s="20"/>
      <c r="I82" s="20"/>
      <c r="J82" s="20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8.0" customHeight="1">
      <c r="A83" s="5" t="s">
        <v>859</v>
      </c>
      <c r="B83" s="6">
        <v>1.0</v>
      </c>
      <c r="C83" s="5" t="s">
        <v>756</v>
      </c>
      <c r="D83" s="6">
        <v>4.0</v>
      </c>
      <c r="E83" s="14">
        <v>249000.0</v>
      </c>
      <c r="F83" s="5" t="s">
        <v>406</v>
      </c>
      <c r="G83" s="11" t="s">
        <v>79</v>
      </c>
      <c r="H83" s="20"/>
      <c r="I83" s="20"/>
      <c r="J83" s="20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8.0" customHeight="1">
      <c r="A84" s="5" t="s">
        <v>861</v>
      </c>
      <c r="B84" s="6">
        <v>1.0</v>
      </c>
      <c r="C84" s="5" t="s">
        <v>750</v>
      </c>
      <c r="D84" s="6">
        <v>1.0</v>
      </c>
      <c r="E84" s="14">
        <v>5006000.0</v>
      </c>
      <c r="F84" s="5" t="s">
        <v>102</v>
      </c>
      <c r="G84" s="11" t="s">
        <v>79</v>
      </c>
      <c r="H84" s="20"/>
      <c r="I84" s="20"/>
      <c r="J84" s="20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8.0" customHeight="1">
      <c r="A85" s="5" t="s">
        <v>862</v>
      </c>
      <c r="B85" s="6">
        <v>1.0</v>
      </c>
      <c r="C85" s="5" t="s">
        <v>750</v>
      </c>
      <c r="D85" s="6">
        <v>1.0</v>
      </c>
      <c r="E85" s="14">
        <v>1798000.0</v>
      </c>
      <c r="F85" s="5" t="s">
        <v>102</v>
      </c>
      <c r="G85" s="11" t="s">
        <v>79</v>
      </c>
      <c r="H85" s="20"/>
      <c r="I85" s="20"/>
      <c r="J85" s="20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8.0" customHeight="1">
      <c r="A86" s="5" t="s">
        <v>864</v>
      </c>
      <c r="B86" s="6">
        <v>1.0</v>
      </c>
      <c r="C86" s="5" t="s">
        <v>756</v>
      </c>
      <c r="D86" s="6">
        <v>1.0</v>
      </c>
      <c r="E86" s="14">
        <v>2210000.0</v>
      </c>
      <c r="F86" s="5" t="s">
        <v>406</v>
      </c>
      <c r="G86" s="11" t="s">
        <v>79</v>
      </c>
      <c r="H86" s="20"/>
      <c r="I86" s="20"/>
      <c r="J86" s="20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8.0" customHeight="1">
      <c r="A87" s="5" t="s">
        <v>865</v>
      </c>
      <c r="B87" s="6">
        <v>1.0</v>
      </c>
      <c r="C87" s="5" t="s">
        <v>750</v>
      </c>
      <c r="D87" s="6">
        <v>1.0</v>
      </c>
      <c r="E87" s="14">
        <v>800000.0</v>
      </c>
      <c r="F87" s="5" t="s">
        <v>102</v>
      </c>
      <c r="G87" s="11" t="s">
        <v>79</v>
      </c>
      <c r="H87" s="20"/>
      <c r="I87" s="20"/>
      <c r="J87" s="20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8.0" customHeight="1">
      <c r="A88" s="5" t="s">
        <v>867</v>
      </c>
      <c r="B88" s="6">
        <v>1.0</v>
      </c>
      <c r="C88" s="5" t="s">
        <v>753</v>
      </c>
      <c r="D88" s="6">
        <v>1.0</v>
      </c>
      <c r="E88" s="14">
        <v>1612000.0</v>
      </c>
      <c r="F88" s="5" t="s">
        <v>258</v>
      </c>
      <c r="G88" s="11" t="s">
        <v>79</v>
      </c>
      <c r="H88" s="20"/>
      <c r="I88" s="20"/>
      <c r="J88" s="20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8.0" customHeight="1">
      <c r="A89" s="5" t="s">
        <v>868</v>
      </c>
      <c r="B89" s="6">
        <v>1.0</v>
      </c>
      <c r="C89" s="5" t="s">
        <v>750</v>
      </c>
      <c r="D89" s="6">
        <v>1.0</v>
      </c>
      <c r="E89" s="14">
        <v>1081000.0</v>
      </c>
      <c r="F89" s="5" t="s">
        <v>102</v>
      </c>
      <c r="G89" s="11" t="s">
        <v>79</v>
      </c>
      <c r="H89" s="20"/>
      <c r="I89" s="20"/>
      <c r="J89" s="20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8.0" customHeight="1">
      <c r="A90" s="5" t="s">
        <v>870</v>
      </c>
      <c r="B90" s="6">
        <v>1.0</v>
      </c>
      <c r="C90" s="5" t="s">
        <v>753</v>
      </c>
      <c r="D90" s="6">
        <v>1.0</v>
      </c>
      <c r="E90" s="14">
        <v>2308000.0</v>
      </c>
      <c r="F90" s="5" t="s">
        <v>258</v>
      </c>
      <c r="G90" s="11" t="s">
        <v>79</v>
      </c>
      <c r="H90" s="20"/>
      <c r="I90" s="20"/>
      <c r="J90" s="20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8.0" customHeight="1">
      <c r="A91" s="5" t="s">
        <v>871</v>
      </c>
      <c r="B91" s="6">
        <v>1.0</v>
      </c>
      <c r="C91" s="5" t="s">
        <v>754</v>
      </c>
      <c r="D91" s="6">
        <v>1.0</v>
      </c>
      <c r="E91" s="14">
        <v>2324000.0</v>
      </c>
      <c r="F91" s="5" t="s">
        <v>344</v>
      </c>
      <c r="G91" s="11" t="s">
        <v>79</v>
      </c>
      <c r="H91" s="20"/>
      <c r="I91" s="20"/>
      <c r="J91" s="20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8.0" customHeight="1">
      <c r="A92" s="5" t="s">
        <v>873</v>
      </c>
      <c r="B92" s="6">
        <v>1.0</v>
      </c>
      <c r="C92" s="5" t="s">
        <v>754</v>
      </c>
      <c r="D92" s="6">
        <v>1.0</v>
      </c>
      <c r="E92" s="14">
        <v>2619000.0</v>
      </c>
      <c r="F92" s="5" t="s">
        <v>344</v>
      </c>
      <c r="G92" s="11" t="s">
        <v>79</v>
      </c>
      <c r="H92" s="20"/>
      <c r="I92" s="20"/>
      <c r="J92" s="20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8.0" customHeight="1">
      <c r="A93" s="5" t="s">
        <v>874</v>
      </c>
      <c r="B93" s="6">
        <v>1.0</v>
      </c>
      <c r="C93" s="5" t="s">
        <v>756</v>
      </c>
      <c r="D93" s="6">
        <v>2.0</v>
      </c>
      <c r="E93" s="14">
        <v>400000.0</v>
      </c>
      <c r="F93" s="5" t="s">
        <v>406</v>
      </c>
      <c r="G93" s="11" t="s">
        <v>79</v>
      </c>
      <c r="H93" s="20"/>
      <c r="I93" s="20"/>
      <c r="J93" s="20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8.0" customHeight="1">
      <c r="A94" s="5" t="s">
        <v>875</v>
      </c>
      <c r="B94" s="6">
        <v>1.0</v>
      </c>
      <c r="C94" s="5" t="s">
        <v>756</v>
      </c>
      <c r="D94" s="6">
        <v>3.0</v>
      </c>
      <c r="E94" s="14">
        <v>1796000.0</v>
      </c>
      <c r="F94" s="5" t="s">
        <v>406</v>
      </c>
      <c r="G94" s="11" t="s">
        <v>79</v>
      </c>
      <c r="H94" s="20"/>
      <c r="I94" s="20"/>
      <c r="J94" s="20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8.0" customHeight="1">
      <c r="A95" s="5" t="s">
        <v>877</v>
      </c>
      <c r="B95" s="6">
        <v>1.0</v>
      </c>
      <c r="C95" s="5" t="s">
        <v>750</v>
      </c>
      <c r="D95" s="6">
        <v>1.0</v>
      </c>
      <c r="E95" s="14">
        <v>987000.0</v>
      </c>
      <c r="F95" s="5" t="s">
        <v>102</v>
      </c>
      <c r="G95" s="11" t="s">
        <v>79</v>
      </c>
      <c r="H95" s="20"/>
      <c r="I95" s="20"/>
      <c r="J95" s="20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8.0" customHeight="1">
      <c r="A96" s="5" t="s">
        <v>878</v>
      </c>
      <c r="B96" s="6">
        <v>1.0</v>
      </c>
      <c r="C96" s="5" t="s">
        <v>753</v>
      </c>
      <c r="D96" s="6">
        <v>1.0</v>
      </c>
      <c r="E96" s="14">
        <v>124000.0</v>
      </c>
      <c r="F96" s="5" t="s">
        <v>258</v>
      </c>
      <c r="G96" s="11" t="s">
        <v>79</v>
      </c>
      <c r="H96" s="20"/>
      <c r="I96" s="20"/>
      <c r="J96" s="20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8.0" customHeight="1">
      <c r="A97" s="5" t="s">
        <v>880</v>
      </c>
      <c r="B97" s="6">
        <v>1.0</v>
      </c>
      <c r="C97" s="5" t="s">
        <v>750</v>
      </c>
      <c r="D97" s="6">
        <v>1.0</v>
      </c>
      <c r="E97" s="14">
        <v>364000.0</v>
      </c>
      <c r="F97" s="5" t="s">
        <v>102</v>
      </c>
      <c r="G97" s="11" t="s">
        <v>79</v>
      </c>
      <c r="H97" s="20"/>
      <c r="I97" s="20"/>
      <c r="J97" s="20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8.0" customHeight="1">
      <c r="A98" s="5" t="s">
        <v>882</v>
      </c>
      <c r="B98" s="6">
        <v>1.0</v>
      </c>
      <c r="C98" s="5" t="s">
        <v>756</v>
      </c>
      <c r="D98" s="6">
        <v>1.0</v>
      </c>
      <c r="E98" s="14">
        <v>405000.0</v>
      </c>
      <c r="F98" s="5" t="s">
        <v>406</v>
      </c>
      <c r="G98" s="11" t="s">
        <v>79</v>
      </c>
      <c r="H98" s="20"/>
      <c r="I98" s="20"/>
      <c r="J98" s="20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8.0" customHeight="1">
      <c r="A99" s="5" t="s">
        <v>883</v>
      </c>
      <c r="B99" s="6">
        <v>1.0</v>
      </c>
      <c r="C99" s="5" t="s">
        <v>753</v>
      </c>
      <c r="D99" s="6">
        <v>1.0</v>
      </c>
      <c r="E99" s="14">
        <v>1620000.0</v>
      </c>
      <c r="F99" s="5" t="s">
        <v>258</v>
      </c>
      <c r="G99" s="11" t="s">
        <v>79</v>
      </c>
      <c r="H99" s="20"/>
      <c r="I99" s="20"/>
      <c r="J99" s="20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8.0" customHeight="1">
      <c r="A100" s="5" t="s">
        <v>885</v>
      </c>
      <c r="B100" s="6">
        <v>1.0</v>
      </c>
      <c r="C100" s="5" t="s">
        <v>756</v>
      </c>
      <c r="D100" s="6">
        <v>3.0</v>
      </c>
      <c r="E100" s="14">
        <v>1159000.0</v>
      </c>
      <c r="F100" s="5" t="s">
        <v>406</v>
      </c>
      <c r="G100" s="11" t="s">
        <v>79</v>
      </c>
      <c r="H100" s="20"/>
      <c r="I100" s="20"/>
      <c r="J100" s="20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8.0" customHeight="1">
      <c r="A101" s="5" t="s">
        <v>886</v>
      </c>
      <c r="B101" s="6">
        <v>1.0</v>
      </c>
      <c r="C101" s="5" t="s">
        <v>750</v>
      </c>
      <c r="D101" s="6">
        <v>1.0</v>
      </c>
      <c r="E101" s="14">
        <v>2522000.0</v>
      </c>
      <c r="F101" s="5" t="s">
        <v>102</v>
      </c>
      <c r="G101" s="11" t="s">
        <v>79</v>
      </c>
      <c r="H101" s="20"/>
      <c r="I101" s="20"/>
      <c r="J101" s="20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8.0" customHeight="1">
      <c r="A102" s="5" t="s">
        <v>888</v>
      </c>
      <c r="B102" s="6">
        <v>1.0</v>
      </c>
      <c r="C102" s="5" t="s">
        <v>750</v>
      </c>
      <c r="D102" s="6">
        <v>1.0</v>
      </c>
      <c r="E102" s="14">
        <v>1375000.0</v>
      </c>
      <c r="F102" s="5" t="s">
        <v>102</v>
      </c>
      <c r="G102" s="11" t="s">
        <v>79</v>
      </c>
      <c r="H102" s="20"/>
      <c r="I102" s="20"/>
      <c r="J102" s="20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8.0" customHeight="1">
      <c r="A103" s="5" t="s">
        <v>889</v>
      </c>
      <c r="B103" s="6">
        <v>1.0</v>
      </c>
      <c r="C103" s="5" t="s">
        <v>753</v>
      </c>
      <c r="D103" s="6">
        <v>1.0</v>
      </c>
      <c r="E103" s="14">
        <v>1583000.0</v>
      </c>
      <c r="F103" s="5" t="s">
        <v>258</v>
      </c>
      <c r="G103" s="11" t="s">
        <v>79</v>
      </c>
      <c r="H103" s="20"/>
      <c r="I103" s="20"/>
      <c r="J103" s="20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8.0" customHeight="1">
      <c r="A104" s="5" t="s">
        <v>890</v>
      </c>
      <c r="B104" s="6">
        <v>1.0</v>
      </c>
      <c r="C104" s="5" t="s">
        <v>750</v>
      </c>
      <c r="D104" s="6">
        <v>1.0</v>
      </c>
      <c r="E104" s="14">
        <v>260000.0</v>
      </c>
      <c r="F104" s="5" t="s">
        <v>102</v>
      </c>
      <c r="G104" s="11" t="s">
        <v>79</v>
      </c>
      <c r="H104" s="20"/>
      <c r="I104" s="20"/>
      <c r="J104" s="20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8.0" customHeight="1">
      <c r="A105" s="5" t="s">
        <v>892</v>
      </c>
      <c r="B105" s="6">
        <v>1.0</v>
      </c>
      <c r="C105" s="5" t="s">
        <v>753</v>
      </c>
      <c r="D105" s="6">
        <v>1.0</v>
      </c>
      <c r="E105" s="14">
        <v>881000.0</v>
      </c>
      <c r="F105" s="5" t="s">
        <v>258</v>
      </c>
      <c r="G105" s="11" t="s">
        <v>79</v>
      </c>
      <c r="H105" s="20"/>
      <c r="I105" s="20"/>
      <c r="J105" s="20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8.0" customHeight="1">
      <c r="A106" s="5" t="s">
        <v>893</v>
      </c>
      <c r="B106" s="6">
        <v>1.0</v>
      </c>
      <c r="C106" s="5" t="s">
        <v>754</v>
      </c>
      <c r="D106" s="6">
        <v>1.0</v>
      </c>
      <c r="E106" s="14">
        <v>790000.0</v>
      </c>
      <c r="F106" s="5" t="s">
        <v>344</v>
      </c>
      <c r="G106" s="11" t="s">
        <v>79</v>
      </c>
      <c r="H106" s="20"/>
      <c r="I106" s="20"/>
      <c r="J106" s="20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8.0" customHeight="1">
      <c r="A107" s="5" t="s">
        <v>895</v>
      </c>
      <c r="B107" s="6">
        <v>1.0</v>
      </c>
      <c r="C107" s="5" t="s">
        <v>750</v>
      </c>
      <c r="D107" s="6">
        <v>1.0</v>
      </c>
      <c r="E107" s="14">
        <v>2250000.0</v>
      </c>
      <c r="F107" s="5" t="s">
        <v>102</v>
      </c>
      <c r="G107" s="11" t="s">
        <v>79</v>
      </c>
      <c r="H107" s="20"/>
      <c r="I107" s="20"/>
      <c r="J107" s="20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8.0" customHeight="1">
      <c r="A108" s="5" t="s">
        <v>896</v>
      </c>
      <c r="B108" s="6">
        <v>1.0</v>
      </c>
      <c r="C108" s="5" t="s">
        <v>753</v>
      </c>
      <c r="D108" s="6">
        <v>1.0</v>
      </c>
      <c r="E108" s="14">
        <v>1710000.0</v>
      </c>
      <c r="F108" s="5" t="s">
        <v>258</v>
      </c>
      <c r="G108" s="11" t="s">
        <v>79</v>
      </c>
      <c r="H108" s="20"/>
      <c r="I108" s="20"/>
      <c r="J108" s="20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8.0" customHeight="1">
      <c r="A109" s="5" t="s">
        <v>898</v>
      </c>
      <c r="B109" s="6">
        <v>1.0</v>
      </c>
      <c r="C109" s="5" t="s">
        <v>756</v>
      </c>
      <c r="D109" s="6">
        <v>6.0</v>
      </c>
      <c r="E109" s="14">
        <v>547000.0</v>
      </c>
      <c r="F109" s="5" t="s">
        <v>406</v>
      </c>
      <c r="G109" s="11" t="s">
        <v>79</v>
      </c>
      <c r="H109" s="20"/>
      <c r="I109" s="20"/>
      <c r="J109" s="20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8.0" customHeight="1">
      <c r="A110" s="5" t="s">
        <v>899</v>
      </c>
      <c r="B110" s="6">
        <v>1.0</v>
      </c>
      <c r="C110" s="5" t="s">
        <v>750</v>
      </c>
      <c r="D110" s="6">
        <v>1.0</v>
      </c>
      <c r="E110" s="14">
        <v>893000.0</v>
      </c>
      <c r="F110" s="5" t="s">
        <v>102</v>
      </c>
      <c r="G110" s="11" t="s">
        <v>79</v>
      </c>
      <c r="H110" s="20"/>
      <c r="I110" s="20"/>
      <c r="J110" s="20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8.0" customHeight="1">
      <c r="A111" s="5" t="s">
        <v>901</v>
      </c>
      <c r="B111" s="6">
        <v>1.0</v>
      </c>
      <c r="C111" s="5" t="s">
        <v>750</v>
      </c>
      <c r="D111" s="6">
        <v>1.0</v>
      </c>
      <c r="E111" s="14">
        <v>492000.0</v>
      </c>
      <c r="F111" s="5" t="s">
        <v>102</v>
      </c>
      <c r="G111" s="11" t="s">
        <v>79</v>
      </c>
      <c r="H111" s="20"/>
      <c r="I111" s="20"/>
      <c r="J111" s="20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8.0" customHeight="1">
      <c r="A112" s="5" t="s">
        <v>902</v>
      </c>
      <c r="B112" s="6">
        <v>1.0</v>
      </c>
      <c r="C112" s="5" t="s">
        <v>753</v>
      </c>
      <c r="D112" s="6">
        <v>1.0</v>
      </c>
      <c r="E112" s="14">
        <v>1090000.0</v>
      </c>
      <c r="F112" s="5" t="s">
        <v>258</v>
      </c>
      <c r="G112" s="11" t="s">
        <v>79</v>
      </c>
      <c r="H112" s="20"/>
      <c r="I112" s="20"/>
      <c r="J112" s="20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8.0" customHeight="1">
      <c r="A113" s="5" t="s">
        <v>904</v>
      </c>
      <c r="B113" s="6">
        <v>1.0</v>
      </c>
      <c r="C113" s="5" t="s">
        <v>754</v>
      </c>
      <c r="D113" s="6">
        <v>1.0</v>
      </c>
      <c r="E113" s="14">
        <v>1410000.0</v>
      </c>
      <c r="F113" s="5" t="s">
        <v>344</v>
      </c>
      <c r="G113" s="11" t="s">
        <v>79</v>
      </c>
      <c r="H113" s="20"/>
      <c r="I113" s="20"/>
      <c r="J113" s="20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8.0" customHeight="1">
      <c r="A114" s="5" t="s">
        <v>906</v>
      </c>
      <c r="B114" s="6">
        <v>1.0</v>
      </c>
      <c r="C114" s="5" t="s">
        <v>754</v>
      </c>
      <c r="D114" s="6">
        <v>1.0</v>
      </c>
      <c r="E114" s="14">
        <v>343000.0</v>
      </c>
      <c r="F114" s="5" t="s">
        <v>344</v>
      </c>
      <c r="G114" s="11" t="s">
        <v>79</v>
      </c>
      <c r="H114" s="20"/>
      <c r="I114" s="20"/>
      <c r="J114" s="20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8.0" customHeight="1">
      <c r="A115" s="5" t="s">
        <v>907</v>
      </c>
      <c r="B115" s="6">
        <v>1.0</v>
      </c>
      <c r="C115" s="5" t="s">
        <v>756</v>
      </c>
      <c r="D115" s="6">
        <v>6.0</v>
      </c>
      <c r="E115" s="14">
        <v>2277000.0</v>
      </c>
      <c r="F115" s="5" t="s">
        <v>406</v>
      </c>
      <c r="G115" s="11" t="s">
        <v>79</v>
      </c>
      <c r="H115" s="20"/>
      <c r="I115" s="20"/>
      <c r="J115" s="20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8.0" customHeight="1">
      <c r="A116" s="5" t="s">
        <v>909</v>
      </c>
      <c r="B116" s="6">
        <v>1.0</v>
      </c>
      <c r="C116" s="5" t="s">
        <v>753</v>
      </c>
      <c r="D116" s="6">
        <v>1.0</v>
      </c>
      <c r="E116" s="14">
        <v>835000.0</v>
      </c>
      <c r="F116" s="5" t="s">
        <v>258</v>
      </c>
      <c r="G116" s="11" t="s">
        <v>79</v>
      </c>
      <c r="H116" s="20"/>
      <c r="I116" s="20"/>
      <c r="J116" s="20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8.0" customHeight="1">
      <c r="A117" s="5" t="s">
        <v>911</v>
      </c>
      <c r="B117" s="6">
        <v>1.0</v>
      </c>
      <c r="C117" s="5" t="s">
        <v>756</v>
      </c>
      <c r="D117" s="6">
        <v>2.0</v>
      </c>
      <c r="E117" s="14">
        <v>2699000.0</v>
      </c>
      <c r="F117" s="5" t="s">
        <v>406</v>
      </c>
      <c r="G117" s="11" t="s">
        <v>79</v>
      </c>
      <c r="H117" s="20"/>
      <c r="I117" s="20"/>
      <c r="J117" s="20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8.0" customHeight="1">
      <c r="A118" s="5" t="s">
        <v>912</v>
      </c>
      <c r="B118" s="6">
        <v>1.0</v>
      </c>
      <c r="C118" s="5" t="s">
        <v>750</v>
      </c>
      <c r="D118" s="6">
        <v>1.0</v>
      </c>
      <c r="E118" s="14">
        <v>2239000.0</v>
      </c>
      <c r="F118" s="5" t="s">
        <v>102</v>
      </c>
      <c r="G118" s="11" t="s">
        <v>79</v>
      </c>
      <c r="H118" s="20"/>
      <c r="I118" s="20"/>
      <c r="J118" s="20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8.0" customHeight="1">
      <c r="A119" s="5" t="s">
        <v>914</v>
      </c>
      <c r="B119" s="6">
        <v>1.0</v>
      </c>
      <c r="C119" s="5" t="s">
        <v>750</v>
      </c>
      <c r="D119" s="6">
        <v>1.0</v>
      </c>
      <c r="E119" s="14">
        <v>330000.0</v>
      </c>
      <c r="F119" s="5" t="s">
        <v>102</v>
      </c>
      <c r="G119" s="11" t="s">
        <v>79</v>
      </c>
      <c r="H119" s="20"/>
      <c r="I119" s="20"/>
      <c r="J119" s="20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8.0" customHeight="1">
      <c r="A120" s="5" t="s">
        <v>915</v>
      </c>
      <c r="B120" s="6">
        <v>1.0</v>
      </c>
      <c r="C120" s="5" t="s">
        <v>756</v>
      </c>
      <c r="D120" s="6">
        <v>5.0</v>
      </c>
      <c r="E120" s="14">
        <v>3114000.0</v>
      </c>
      <c r="F120" s="5" t="s">
        <v>406</v>
      </c>
      <c r="G120" s="11" t="s">
        <v>79</v>
      </c>
      <c r="H120" s="20"/>
      <c r="I120" s="20"/>
      <c r="J120" s="20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8.0" customHeight="1">
      <c r="A121" s="5" t="s">
        <v>917</v>
      </c>
      <c r="B121" s="6">
        <v>1.0</v>
      </c>
      <c r="C121" s="5" t="s">
        <v>753</v>
      </c>
      <c r="D121" s="6">
        <v>1.0</v>
      </c>
      <c r="E121" s="14">
        <v>2915000.0</v>
      </c>
      <c r="F121" s="5" t="s">
        <v>258</v>
      </c>
      <c r="G121" s="11" t="s">
        <v>79</v>
      </c>
      <c r="H121" s="20"/>
      <c r="I121" s="20"/>
      <c r="J121" s="20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8.0" customHeight="1">
      <c r="A122" s="5" t="s">
        <v>918</v>
      </c>
      <c r="B122" s="6">
        <v>1.0</v>
      </c>
      <c r="C122" s="5" t="s">
        <v>750</v>
      </c>
      <c r="D122" s="6">
        <v>1.0</v>
      </c>
      <c r="E122" s="14">
        <v>1947000.0</v>
      </c>
      <c r="F122" s="5" t="s">
        <v>102</v>
      </c>
      <c r="G122" s="11" t="s">
        <v>79</v>
      </c>
      <c r="H122" s="20"/>
      <c r="I122" s="20"/>
      <c r="J122" s="20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8.0" customHeight="1">
      <c r="A123" s="5" t="s">
        <v>920</v>
      </c>
      <c r="B123" s="6">
        <v>1.0</v>
      </c>
      <c r="C123" s="5" t="s">
        <v>754</v>
      </c>
      <c r="D123" s="6">
        <v>1.0</v>
      </c>
      <c r="E123" s="14">
        <v>919000.0</v>
      </c>
      <c r="F123" s="5" t="s">
        <v>344</v>
      </c>
      <c r="G123" s="11" t="s">
        <v>79</v>
      </c>
      <c r="H123" s="20"/>
      <c r="I123" s="20"/>
      <c r="J123" s="20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8.0" customHeight="1">
      <c r="A124" s="5" t="s">
        <v>922</v>
      </c>
      <c r="B124" s="6">
        <v>1.0</v>
      </c>
      <c r="C124" s="5" t="s">
        <v>756</v>
      </c>
      <c r="D124" s="6">
        <v>3.0</v>
      </c>
      <c r="E124" s="14">
        <v>474000.0</v>
      </c>
      <c r="F124" s="5" t="s">
        <v>406</v>
      </c>
      <c r="G124" s="11" t="s">
        <v>79</v>
      </c>
      <c r="H124" s="20"/>
      <c r="I124" s="20"/>
      <c r="J124" s="20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8.0" customHeight="1">
      <c r="A125" s="5" t="s">
        <v>923</v>
      </c>
      <c r="B125" s="6">
        <v>1.0</v>
      </c>
      <c r="C125" s="5" t="s">
        <v>750</v>
      </c>
      <c r="D125" s="6">
        <v>1.0</v>
      </c>
      <c r="E125" s="14">
        <v>3839000.0</v>
      </c>
      <c r="F125" s="5" t="s">
        <v>102</v>
      </c>
      <c r="G125" s="11" t="s">
        <v>79</v>
      </c>
      <c r="H125" s="20"/>
      <c r="I125" s="20"/>
      <c r="J125" s="20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8.0" customHeight="1">
      <c r="A126" s="5" t="s">
        <v>925</v>
      </c>
      <c r="B126" s="6">
        <v>1.0</v>
      </c>
      <c r="C126" s="5" t="s">
        <v>750</v>
      </c>
      <c r="D126" s="6">
        <v>1.0</v>
      </c>
      <c r="E126" s="14">
        <v>1443000.0</v>
      </c>
      <c r="F126" s="5" t="s">
        <v>102</v>
      </c>
      <c r="G126" s="11" t="s">
        <v>79</v>
      </c>
      <c r="H126" s="20"/>
      <c r="I126" s="20"/>
      <c r="J126" s="20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8.0" customHeight="1">
      <c r="A127" s="5" t="s">
        <v>927</v>
      </c>
      <c r="B127" s="6">
        <v>1.0</v>
      </c>
      <c r="C127" s="5" t="s">
        <v>756</v>
      </c>
      <c r="D127" s="6">
        <v>6.0</v>
      </c>
      <c r="E127" s="14">
        <v>1265000.0</v>
      </c>
      <c r="F127" s="5" t="s">
        <v>406</v>
      </c>
      <c r="G127" s="11" t="s">
        <v>79</v>
      </c>
      <c r="H127" s="20"/>
      <c r="I127" s="20"/>
      <c r="J127" s="20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8.0" customHeight="1">
      <c r="A128" s="5" t="s">
        <v>928</v>
      </c>
      <c r="B128" s="6">
        <v>1.0</v>
      </c>
      <c r="C128" s="5" t="s">
        <v>750</v>
      </c>
      <c r="D128" s="6">
        <v>1.0</v>
      </c>
      <c r="E128" s="14">
        <v>1164000.0</v>
      </c>
      <c r="F128" s="5" t="s">
        <v>102</v>
      </c>
      <c r="G128" s="11" t="s">
        <v>79</v>
      </c>
      <c r="H128" s="20"/>
      <c r="I128" s="20"/>
      <c r="J128" s="20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8.0" customHeight="1">
      <c r="A129" s="5" t="s">
        <v>930</v>
      </c>
      <c r="B129" s="6">
        <v>1.0</v>
      </c>
      <c r="C129" s="5" t="s">
        <v>753</v>
      </c>
      <c r="D129" s="6">
        <v>1.0</v>
      </c>
      <c r="E129" s="14">
        <v>697000.0</v>
      </c>
      <c r="F129" s="5" t="s">
        <v>258</v>
      </c>
      <c r="G129" s="11" t="s">
        <v>79</v>
      </c>
      <c r="H129" s="20"/>
      <c r="I129" s="20"/>
      <c r="J129" s="20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8.0" customHeight="1">
      <c r="A130" s="5" t="s">
        <v>931</v>
      </c>
      <c r="B130" s="6">
        <v>1.0</v>
      </c>
      <c r="C130" s="5" t="s">
        <v>754</v>
      </c>
      <c r="D130" s="6">
        <v>1.0</v>
      </c>
      <c r="E130" s="14">
        <v>3206000.0</v>
      </c>
      <c r="F130" s="5" t="s">
        <v>344</v>
      </c>
      <c r="G130" s="11" t="s">
        <v>79</v>
      </c>
      <c r="H130" s="20"/>
      <c r="I130" s="20"/>
      <c r="J130" s="20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8.0" customHeight="1">
      <c r="A131" s="5" t="s">
        <v>933</v>
      </c>
      <c r="B131" s="6">
        <v>1.0</v>
      </c>
      <c r="C131" s="5" t="s">
        <v>754</v>
      </c>
      <c r="D131" s="6">
        <v>1.0</v>
      </c>
      <c r="E131" s="14">
        <v>2041000.0</v>
      </c>
      <c r="F131" s="5" t="s">
        <v>344</v>
      </c>
      <c r="G131" s="11" t="s">
        <v>79</v>
      </c>
      <c r="H131" s="20"/>
      <c r="I131" s="20"/>
      <c r="J131" s="20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8.0" customHeight="1">
      <c r="A132" s="5" t="s">
        <v>935</v>
      </c>
      <c r="B132" s="6">
        <v>1.0</v>
      </c>
      <c r="C132" s="5" t="s">
        <v>754</v>
      </c>
      <c r="D132" s="6">
        <v>1.0</v>
      </c>
      <c r="E132" s="14">
        <v>2857000.0</v>
      </c>
      <c r="F132" s="5" t="s">
        <v>344</v>
      </c>
      <c r="G132" s="11" t="s">
        <v>79</v>
      </c>
      <c r="H132" s="20"/>
      <c r="I132" s="20"/>
      <c r="J132" s="20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8.0" customHeight="1">
      <c r="A133" s="5" t="s">
        <v>936</v>
      </c>
      <c r="B133" s="6">
        <v>1.0</v>
      </c>
      <c r="C133" s="5" t="s">
        <v>756</v>
      </c>
      <c r="D133" s="6">
        <v>6.0</v>
      </c>
      <c r="E133" s="14">
        <v>3650000.0</v>
      </c>
      <c r="F133" s="5" t="s">
        <v>406</v>
      </c>
      <c r="G133" s="11" t="s">
        <v>79</v>
      </c>
      <c r="H133" s="20"/>
      <c r="I133" s="20"/>
      <c r="J133" s="20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8.0" customHeight="1">
      <c r="A134" s="5" t="s">
        <v>938</v>
      </c>
      <c r="B134" s="6">
        <v>1.0</v>
      </c>
      <c r="C134" s="5" t="s">
        <v>756</v>
      </c>
      <c r="D134" s="6">
        <v>1.0</v>
      </c>
      <c r="E134" s="14">
        <v>2122000.0</v>
      </c>
      <c r="F134" s="5" t="s">
        <v>406</v>
      </c>
      <c r="G134" s="11" t="s">
        <v>79</v>
      </c>
      <c r="H134" s="20"/>
      <c r="I134" s="20"/>
      <c r="J134" s="20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8.0" customHeight="1">
      <c r="A135" s="5" t="s">
        <v>940</v>
      </c>
      <c r="B135" s="6">
        <v>1.0</v>
      </c>
      <c r="C135" s="5" t="s">
        <v>750</v>
      </c>
      <c r="D135" s="6">
        <v>1.0</v>
      </c>
      <c r="E135" s="14">
        <v>266000.0</v>
      </c>
      <c r="F135" s="5" t="s">
        <v>102</v>
      </c>
      <c r="G135" s="11" t="s">
        <v>79</v>
      </c>
      <c r="H135" s="20"/>
      <c r="I135" s="20"/>
      <c r="J135" s="20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8.0" customHeight="1">
      <c r="A136" s="5" t="s">
        <v>941</v>
      </c>
      <c r="B136" s="6">
        <v>1.0</v>
      </c>
      <c r="C136" s="5" t="s">
        <v>753</v>
      </c>
      <c r="D136" s="6">
        <v>1.0</v>
      </c>
      <c r="E136" s="14">
        <v>2438000.0</v>
      </c>
      <c r="F136" s="5" t="s">
        <v>258</v>
      </c>
      <c r="G136" s="11" t="s">
        <v>79</v>
      </c>
      <c r="H136" s="20"/>
      <c r="I136" s="20"/>
      <c r="J136" s="20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8.0" customHeight="1">
      <c r="A137" s="5" t="s">
        <v>943</v>
      </c>
      <c r="B137" s="6">
        <v>1.0</v>
      </c>
      <c r="C137" s="5" t="s">
        <v>754</v>
      </c>
      <c r="D137" s="6">
        <v>1.0</v>
      </c>
      <c r="E137" s="14">
        <v>782000.0</v>
      </c>
      <c r="F137" s="5" t="s">
        <v>344</v>
      </c>
      <c r="G137" s="11" t="s">
        <v>79</v>
      </c>
      <c r="H137" s="20"/>
      <c r="I137" s="20"/>
      <c r="J137" s="20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8.0" customHeight="1">
      <c r="A138" s="5" t="s">
        <v>944</v>
      </c>
      <c r="B138" s="6">
        <v>1.0</v>
      </c>
      <c r="C138" s="5" t="s">
        <v>753</v>
      </c>
      <c r="D138" s="6">
        <v>1.0</v>
      </c>
      <c r="E138" s="14">
        <v>2639000.0</v>
      </c>
      <c r="F138" s="5" t="s">
        <v>258</v>
      </c>
      <c r="G138" s="11" t="s">
        <v>79</v>
      </c>
      <c r="H138" s="20"/>
      <c r="I138" s="20"/>
      <c r="J138" s="20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8.0" customHeight="1">
      <c r="A139" s="5" t="s">
        <v>945</v>
      </c>
      <c r="B139" s="6">
        <v>1.0</v>
      </c>
      <c r="C139" s="5" t="s">
        <v>754</v>
      </c>
      <c r="D139" s="6">
        <v>1.0</v>
      </c>
      <c r="E139" s="14">
        <v>848000.0</v>
      </c>
      <c r="F139" s="5" t="s">
        <v>344</v>
      </c>
      <c r="G139" s="11" t="s">
        <v>79</v>
      </c>
      <c r="H139" s="20"/>
      <c r="I139" s="20"/>
      <c r="J139" s="20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8.0" customHeight="1">
      <c r="A140" s="5" t="s">
        <v>947</v>
      </c>
      <c r="B140" s="6">
        <v>1.0</v>
      </c>
      <c r="C140" s="5" t="s">
        <v>753</v>
      </c>
      <c r="D140" s="6">
        <v>1.0</v>
      </c>
      <c r="E140" s="14">
        <v>412000.0</v>
      </c>
      <c r="F140" s="5" t="s">
        <v>258</v>
      </c>
      <c r="G140" s="11" t="s">
        <v>79</v>
      </c>
      <c r="H140" s="20"/>
      <c r="I140" s="20"/>
      <c r="J140" s="20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8.0" customHeight="1">
      <c r="A141" s="5" t="s">
        <v>949</v>
      </c>
      <c r="B141" s="6">
        <v>1.0</v>
      </c>
      <c r="C141" s="5" t="s">
        <v>756</v>
      </c>
      <c r="D141" s="6">
        <v>2.0</v>
      </c>
      <c r="E141" s="14">
        <v>1089000.0</v>
      </c>
      <c r="F141" s="5" t="s">
        <v>406</v>
      </c>
      <c r="G141" s="11" t="s">
        <v>79</v>
      </c>
      <c r="H141" s="20"/>
      <c r="I141" s="20"/>
      <c r="J141" s="20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8.0" customHeight="1">
      <c r="A142" s="5" t="s">
        <v>950</v>
      </c>
      <c r="B142" s="6">
        <v>1.0</v>
      </c>
      <c r="C142" s="5" t="s">
        <v>756</v>
      </c>
      <c r="D142" s="6">
        <v>3.0</v>
      </c>
      <c r="E142" s="14">
        <v>617000.0</v>
      </c>
      <c r="F142" s="5" t="s">
        <v>406</v>
      </c>
      <c r="G142" s="11" t="s">
        <v>79</v>
      </c>
      <c r="H142" s="20"/>
      <c r="I142" s="20"/>
      <c r="J142" s="20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8.0" customHeight="1">
      <c r="A143" s="5" t="s">
        <v>952</v>
      </c>
      <c r="B143" s="6">
        <v>1.0</v>
      </c>
      <c r="C143" s="5" t="s">
        <v>753</v>
      </c>
      <c r="D143" s="6">
        <v>1.0</v>
      </c>
      <c r="E143" s="14">
        <v>1064000.0</v>
      </c>
      <c r="F143" s="5" t="s">
        <v>258</v>
      </c>
      <c r="G143" s="11" t="s">
        <v>79</v>
      </c>
      <c r="H143" s="20"/>
      <c r="I143" s="20"/>
      <c r="J143" s="20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8.0" customHeight="1">
      <c r="A144" s="5" t="s">
        <v>954</v>
      </c>
      <c r="B144" s="6">
        <v>1.0</v>
      </c>
      <c r="C144" s="5" t="s">
        <v>750</v>
      </c>
      <c r="D144" s="6">
        <v>1.0</v>
      </c>
      <c r="E144" s="14">
        <v>158000.0</v>
      </c>
      <c r="F144" s="5" t="s">
        <v>102</v>
      </c>
      <c r="G144" s="11" t="s">
        <v>79</v>
      </c>
      <c r="H144" s="20"/>
      <c r="I144" s="20"/>
      <c r="J144" s="20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8.0" customHeight="1">
      <c r="A145" s="5" t="s">
        <v>955</v>
      </c>
      <c r="B145" s="6">
        <v>1.0</v>
      </c>
      <c r="C145" s="5" t="s">
        <v>753</v>
      </c>
      <c r="D145" s="6">
        <v>1.0</v>
      </c>
      <c r="E145" s="14">
        <v>379000.0</v>
      </c>
      <c r="F145" s="5" t="s">
        <v>258</v>
      </c>
      <c r="G145" s="11" t="s">
        <v>79</v>
      </c>
      <c r="H145" s="20"/>
      <c r="I145" s="20"/>
      <c r="J145" s="20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8.0" customHeight="1">
      <c r="A146" s="5" t="s">
        <v>957</v>
      </c>
      <c r="B146" s="6">
        <v>1.0</v>
      </c>
      <c r="C146" s="5" t="s">
        <v>750</v>
      </c>
      <c r="D146" s="6">
        <v>1.0</v>
      </c>
      <c r="E146" s="14">
        <v>2585000.0</v>
      </c>
      <c r="F146" s="5" t="s">
        <v>102</v>
      </c>
      <c r="G146" s="11" t="s">
        <v>79</v>
      </c>
      <c r="H146" s="20"/>
      <c r="I146" s="20"/>
      <c r="J146" s="20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8.0" customHeight="1">
      <c r="A147" s="5" t="s">
        <v>958</v>
      </c>
      <c r="B147" s="6">
        <v>1.0</v>
      </c>
      <c r="C147" s="5" t="s">
        <v>756</v>
      </c>
      <c r="D147" s="6">
        <v>2.0</v>
      </c>
      <c r="E147" s="14">
        <v>2116000.0</v>
      </c>
      <c r="F147" s="5" t="s">
        <v>406</v>
      </c>
      <c r="G147" s="11" t="s">
        <v>79</v>
      </c>
      <c r="H147" s="20"/>
      <c r="I147" s="20"/>
      <c r="J147" s="20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8.0" customHeight="1">
      <c r="A148" s="5" t="s">
        <v>960</v>
      </c>
      <c r="B148" s="6">
        <v>1.0</v>
      </c>
      <c r="C148" s="5" t="s">
        <v>753</v>
      </c>
      <c r="D148" s="6">
        <v>1.0</v>
      </c>
      <c r="E148" s="14">
        <v>1546000.0</v>
      </c>
      <c r="F148" s="5" t="s">
        <v>258</v>
      </c>
      <c r="G148" s="11" t="s">
        <v>79</v>
      </c>
      <c r="H148" s="20"/>
      <c r="I148" s="20"/>
      <c r="J148" s="20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8.0" customHeight="1">
      <c r="A149" s="5" t="s">
        <v>961</v>
      </c>
      <c r="B149" s="6">
        <v>1.0</v>
      </c>
      <c r="C149" s="5" t="s">
        <v>754</v>
      </c>
      <c r="D149" s="6">
        <v>1.0</v>
      </c>
      <c r="E149" s="14">
        <v>1781000.0</v>
      </c>
      <c r="F149" s="5" t="s">
        <v>344</v>
      </c>
      <c r="G149" s="11" t="s">
        <v>79</v>
      </c>
      <c r="H149" s="20"/>
      <c r="I149" s="20"/>
      <c r="J149" s="20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8.0" customHeight="1">
      <c r="A150" s="5" t="s">
        <v>963</v>
      </c>
      <c r="B150" s="6">
        <v>1.0</v>
      </c>
      <c r="C150" s="5" t="s">
        <v>754</v>
      </c>
      <c r="D150" s="6">
        <v>1.0</v>
      </c>
      <c r="E150" s="14">
        <v>558000.0</v>
      </c>
      <c r="F150" s="5" t="s">
        <v>344</v>
      </c>
      <c r="G150" s="11" t="s">
        <v>79</v>
      </c>
      <c r="H150" s="20"/>
      <c r="I150" s="20"/>
      <c r="J150" s="20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8.0" customHeight="1">
      <c r="A151" s="5" t="s">
        <v>965</v>
      </c>
      <c r="B151" s="6">
        <v>1.0</v>
      </c>
      <c r="C151" s="5" t="s">
        <v>750</v>
      </c>
      <c r="D151" s="6">
        <v>1.0</v>
      </c>
      <c r="E151" s="14">
        <v>745000.0</v>
      </c>
      <c r="F151" s="5" t="s">
        <v>102</v>
      </c>
      <c r="G151" s="11" t="s">
        <v>79</v>
      </c>
      <c r="H151" s="20"/>
      <c r="I151" s="20"/>
      <c r="J151" s="20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8.0" customHeight="1">
      <c r="A152" s="5" t="s">
        <v>966</v>
      </c>
      <c r="B152" s="6">
        <v>1.0</v>
      </c>
      <c r="C152" s="5" t="s">
        <v>756</v>
      </c>
      <c r="D152" s="6">
        <v>1.0</v>
      </c>
      <c r="E152" s="14">
        <v>787000.0</v>
      </c>
      <c r="F152" s="5" t="s">
        <v>406</v>
      </c>
      <c r="G152" s="11" t="s">
        <v>79</v>
      </c>
      <c r="H152" s="20"/>
      <c r="I152" s="20"/>
      <c r="J152" s="20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8.0" customHeight="1">
      <c r="A153" s="5" t="s">
        <v>969</v>
      </c>
      <c r="B153" s="6">
        <v>1.0</v>
      </c>
      <c r="C153" s="5" t="s">
        <v>753</v>
      </c>
      <c r="D153" s="6">
        <v>1.0</v>
      </c>
      <c r="E153" s="14">
        <v>638000.0</v>
      </c>
      <c r="F153" s="5" t="s">
        <v>258</v>
      </c>
      <c r="G153" s="11" t="s">
        <v>79</v>
      </c>
      <c r="H153" s="20"/>
      <c r="I153" s="20"/>
      <c r="J153" s="20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8.0" customHeight="1">
      <c r="A154" s="5" t="s">
        <v>970</v>
      </c>
      <c r="B154" s="6">
        <v>1.0</v>
      </c>
      <c r="C154" s="5" t="s">
        <v>756</v>
      </c>
      <c r="D154" s="6">
        <v>3.0</v>
      </c>
      <c r="E154" s="14">
        <v>379000.0</v>
      </c>
      <c r="F154" s="5" t="s">
        <v>406</v>
      </c>
      <c r="G154" s="11" t="s">
        <v>79</v>
      </c>
      <c r="H154" s="20"/>
      <c r="I154" s="20"/>
      <c r="J154" s="20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8.0" customHeight="1">
      <c r="A155" s="5" t="s">
        <v>972</v>
      </c>
      <c r="B155" s="6">
        <v>1.0</v>
      </c>
      <c r="C155" s="5" t="s">
        <v>753</v>
      </c>
      <c r="D155" s="6">
        <v>1.0</v>
      </c>
      <c r="E155" s="14">
        <v>2174000.0</v>
      </c>
      <c r="F155" s="5" t="s">
        <v>258</v>
      </c>
      <c r="G155" s="11" t="s">
        <v>79</v>
      </c>
      <c r="H155" s="20"/>
      <c r="I155" s="20"/>
      <c r="J155" s="20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8.0" customHeight="1">
      <c r="A156" s="5" t="s">
        <v>974</v>
      </c>
      <c r="B156" s="6">
        <v>1.0</v>
      </c>
      <c r="C156" s="5" t="s">
        <v>756</v>
      </c>
      <c r="D156" s="6">
        <v>5.0</v>
      </c>
      <c r="E156" s="14">
        <v>1120000.0</v>
      </c>
      <c r="F156" s="5" t="s">
        <v>406</v>
      </c>
      <c r="G156" s="11" t="s">
        <v>79</v>
      </c>
      <c r="H156" s="20"/>
      <c r="I156" s="20"/>
      <c r="J156" s="20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8.0" customHeight="1">
      <c r="A157" s="5" t="s">
        <v>975</v>
      </c>
      <c r="B157" s="6">
        <v>1.0</v>
      </c>
      <c r="C157" s="5" t="s">
        <v>754</v>
      </c>
      <c r="D157" s="6">
        <v>1.0</v>
      </c>
      <c r="E157" s="14">
        <v>250000.0</v>
      </c>
      <c r="F157" s="5" t="s">
        <v>344</v>
      </c>
      <c r="G157" s="11" t="s">
        <v>79</v>
      </c>
      <c r="H157" s="20"/>
      <c r="I157" s="20"/>
      <c r="J157" s="20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8.0" customHeight="1">
      <c r="A158" s="5" t="s">
        <v>977</v>
      </c>
      <c r="B158" s="6">
        <v>1.0</v>
      </c>
      <c r="C158" s="5" t="s">
        <v>754</v>
      </c>
      <c r="D158" s="6">
        <v>1.0</v>
      </c>
      <c r="E158" s="14">
        <v>3199000.0</v>
      </c>
      <c r="F158" s="5" t="s">
        <v>344</v>
      </c>
      <c r="G158" s="11" t="s">
        <v>79</v>
      </c>
      <c r="H158" s="20"/>
      <c r="I158" s="20"/>
      <c r="J158" s="20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8.0" customHeight="1">
      <c r="A159" s="5" t="s">
        <v>978</v>
      </c>
      <c r="B159" s="6">
        <v>1.0</v>
      </c>
      <c r="C159" s="5" t="s">
        <v>750</v>
      </c>
      <c r="D159" s="6">
        <v>1.0</v>
      </c>
      <c r="E159" s="14">
        <v>4388000.0</v>
      </c>
      <c r="F159" s="5" t="s">
        <v>102</v>
      </c>
      <c r="G159" s="11" t="s">
        <v>79</v>
      </c>
      <c r="H159" s="20"/>
      <c r="I159" s="20"/>
      <c r="J159" s="20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8.0" customHeight="1">
      <c r="A160" s="5" t="s">
        <v>980</v>
      </c>
      <c r="B160" s="6">
        <v>1.0</v>
      </c>
      <c r="C160" s="5" t="s">
        <v>756</v>
      </c>
      <c r="D160" s="6">
        <v>3.0</v>
      </c>
      <c r="E160" s="14">
        <v>1435000.0</v>
      </c>
      <c r="F160" s="5" t="s">
        <v>406</v>
      </c>
      <c r="G160" s="11" t="s">
        <v>79</v>
      </c>
      <c r="H160" s="20"/>
      <c r="I160" s="20"/>
      <c r="J160" s="20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8.0" customHeight="1">
      <c r="A161" s="5" t="s">
        <v>982</v>
      </c>
      <c r="B161" s="6">
        <v>1.0</v>
      </c>
      <c r="C161" s="5" t="s">
        <v>756</v>
      </c>
      <c r="D161" s="6">
        <v>4.0</v>
      </c>
      <c r="E161" s="14">
        <v>746000.0</v>
      </c>
      <c r="F161" s="5" t="s">
        <v>406</v>
      </c>
      <c r="G161" s="11" t="s">
        <v>79</v>
      </c>
      <c r="H161" s="20"/>
      <c r="I161" s="20"/>
      <c r="J161" s="20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8.0" customHeight="1">
      <c r="A162" s="5" t="s">
        <v>983</v>
      </c>
      <c r="B162" s="6">
        <v>1.0</v>
      </c>
      <c r="C162" s="5" t="s">
        <v>754</v>
      </c>
      <c r="D162" s="6">
        <v>1.0</v>
      </c>
      <c r="E162" s="14">
        <v>3278000.0</v>
      </c>
      <c r="F162" s="5" t="s">
        <v>344</v>
      </c>
      <c r="G162" s="11" t="s">
        <v>79</v>
      </c>
      <c r="H162" s="20"/>
      <c r="I162" s="20"/>
      <c r="J162" s="20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8.0" customHeight="1">
      <c r="A163" s="5" t="s">
        <v>985</v>
      </c>
      <c r="B163" s="6">
        <v>1.0</v>
      </c>
      <c r="C163" s="5" t="s">
        <v>756</v>
      </c>
      <c r="D163" s="6">
        <v>6.0</v>
      </c>
      <c r="E163" s="14">
        <v>2283000.0</v>
      </c>
      <c r="F163" s="5" t="s">
        <v>406</v>
      </c>
      <c r="G163" s="11" t="s">
        <v>79</v>
      </c>
      <c r="H163" s="20"/>
      <c r="I163" s="20"/>
      <c r="J163" s="20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8.0" customHeight="1">
      <c r="A164" s="5" t="s">
        <v>987</v>
      </c>
      <c r="B164" s="6">
        <v>1.0</v>
      </c>
      <c r="C164" s="5" t="s">
        <v>753</v>
      </c>
      <c r="D164" s="6">
        <v>1.0</v>
      </c>
      <c r="E164" s="14">
        <v>268000.0</v>
      </c>
      <c r="F164" s="5" t="s">
        <v>258</v>
      </c>
      <c r="G164" s="11" t="s">
        <v>79</v>
      </c>
      <c r="H164" s="20"/>
      <c r="I164" s="20"/>
      <c r="J164" s="20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8.0" customHeight="1">
      <c r="A165" s="5" t="s">
        <v>988</v>
      </c>
      <c r="B165" s="6">
        <v>1.0</v>
      </c>
      <c r="C165" s="5" t="s">
        <v>756</v>
      </c>
      <c r="D165" s="6">
        <v>2.0</v>
      </c>
      <c r="E165" s="14">
        <v>524000.0</v>
      </c>
      <c r="F165" s="5" t="s">
        <v>406</v>
      </c>
      <c r="G165" s="11" t="s">
        <v>79</v>
      </c>
      <c r="H165" s="20"/>
      <c r="I165" s="20"/>
      <c r="J165" s="20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8.0" customHeight="1">
      <c r="A166" s="5" t="s">
        <v>990</v>
      </c>
      <c r="B166" s="6">
        <v>1.0</v>
      </c>
      <c r="C166" s="5" t="s">
        <v>753</v>
      </c>
      <c r="D166" s="6">
        <v>1.0</v>
      </c>
      <c r="E166" s="14">
        <v>3027000.0</v>
      </c>
      <c r="F166" s="5" t="s">
        <v>258</v>
      </c>
      <c r="G166" s="11" t="s">
        <v>79</v>
      </c>
      <c r="H166" s="20"/>
      <c r="I166" s="20"/>
      <c r="J166" s="20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8.0" customHeight="1">
      <c r="A167" s="5" t="s">
        <v>991</v>
      </c>
      <c r="B167" s="6">
        <v>1.0</v>
      </c>
      <c r="C167" s="5" t="s">
        <v>750</v>
      </c>
      <c r="D167" s="6">
        <v>1.0</v>
      </c>
      <c r="E167" s="14">
        <v>3360000.0</v>
      </c>
      <c r="F167" s="5" t="s">
        <v>102</v>
      </c>
      <c r="G167" s="11" t="s">
        <v>79</v>
      </c>
      <c r="H167" s="20"/>
      <c r="I167" s="20"/>
      <c r="J167" s="20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8.0" customHeight="1">
      <c r="A168" s="5" t="s">
        <v>993</v>
      </c>
      <c r="B168" s="6">
        <v>1.0</v>
      </c>
      <c r="C168" s="5" t="s">
        <v>754</v>
      </c>
      <c r="D168" s="6">
        <v>1.0</v>
      </c>
      <c r="E168" s="14">
        <v>1707000.0</v>
      </c>
      <c r="F168" s="5" t="s">
        <v>344</v>
      </c>
      <c r="G168" s="11" t="s">
        <v>79</v>
      </c>
      <c r="H168" s="20"/>
      <c r="I168" s="20"/>
      <c r="J168" s="20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8.0" customHeight="1">
      <c r="A169" s="5" t="s">
        <v>995</v>
      </c>
      <c r="B169" s="6">
        <v>1.0</v>
      </c>
      <c r="C169" s="5" t="s">
        <v>754</v>
      </c>
      <c r="D169" s="6">
        <v>1.0</v>
      </c>
      <c r="E169" s="14">
        <v>1733000.0</v>
      </c>
      <c r="F169" s="5" t="s">
        <v>344</v>
      </c>
      <c r="G169" s="11" t="s">
        <v>79</v>
      </c>
      <c r="H169" s="20"/>
      <c r="I169" s="20"/>
      <c r="J169" s="20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8.0" customHeight="1">
      <c r="A170" s="5" t="s">
        <v>996</v>
      </c>
      <c r="B170" s="6">
        <v>1.0</v>
      </c>
      <c r="C170" s="5" t="s">
        <v>756</v>
      </c>
      <c r="D170" s="6">
        <v>1.0</v>
      </c>
      <c r="E170" s="14">
        <v>892000.0</v>
      </c>
      <c r="F170" s="5" t="s">
        <v>406</v>
      </c>
      <c r="G170" s="11" t="s">
        <v>79</v>
      </c>
      <c r="H170" s="20"/>
      <c r="I170" s="20"/>
      <c r="J170" s="20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8.0" customHeight="1">
      <c r="A171" s="5" t="s">
        <v>998</v>
      </c>
      <c r="B171" s="6">
        <v>1.0</v>
      </c>
      <c r="C171" s="5" t="s">
        <v>750</v>
      </c>
      <c r="D171" s="6">
        <v>1.0</v>
      </c>
      <c r="E171" s="14">
        <v>998000.0</v>
      </c>
      <c r="F171" s="5" t="s">
        <v>102</v>
      </c>
      <c r="G171" s="11" t="s">
        <v>79</v>
      </c>
      <c r="H171" s="20"/>
      <c r="I171" s="20"/>
      <c r="J171" s="20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8.0" customHeight="1">
      <c r="A172" s="5" t="s">
        <v>1000</v>
      </c>
      <c r="B172" s="6">
        <v>1.0</v>
      </c>
      <c r="C172" s="5" t="s">
        <v>756</v>
      </c>
      <c r="D172" s="6">
        <v>3.0</v>
      </c>
      <c r="E172" s="14">
        <v>2407000.0</v>
      </c>
      <c r="F172" s="5" t="s">
        <v>406</v>
      </c>
      <c r="G172" s="11" t="s">
        <v>79</v>
      </c>
      <c r="H172" s="20"/>
      <c r="I172" s="20"/>
      <c r="J172" s="20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8.0" customHeight="1">
      <c r="A173" s="5" t="s">
        <v>1001</v>
      </c>
      <c r="B173" s="6">
        <v>1.0</v>
      </c>
      <c r="C173" s="5" t="s">
        <v>756</v>
      </c>
      <c r="D173" s="6">
        <v>4.0</v>
      </c>
      <c r="E173" s="14">
        <v>1921000.0</v>
      </c>
      <c r="F173" s="5" t="s">
        <v>406</v>
      </c>
      <c r="G173" s="11" t="s">
        <v>79</v>
      </c>
      <c r="H173" s="20"/>
      <c r="I173" s="20"/>
      <c r="J173" s="20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8.0" customHeight="1">
      <c r="A174" s="5" t="s">
        <v>1003</v>
      </c>
      <c r="B174" s="6">
        <v>1.0</v>
      </c>
      <c r="C174" s="5" t="s">
        <v>754</v>
      </c>
      <c r="D174" s="6">
        <v>1.0</v>
      </c>
      <c r="E174" s="14">
        <v>1587000.0</v>
      </c>
      <c r="F174" s="5" t="s">
        <v>344</v>
      </c>
      <c r="G174" s="11" t="s">
        <v>79</v>
      </c>
      <c r="H174" s="20"/>
      <c r="I174" s="20"/>
      <c r="J174" s="20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8.0" customHeight="1">
      <c r="A175" s="5" t="s">
        <v>1004</v>
      </c>
      <c r="B175" s="6">
        <v>1.0</v>
      </c>
      <c r="C175" s="5" t="s">
        <v>754</v>
      </c>
      <c r="D175" s="6">
        <v>1.0</v>
      </c>
      <c r="E175" s="14">
        <v>1777000.0</v>
      </c>
      <c r="F175" s="5" t="s">
        <v>344</v>
      </c>
      <c r="G175" s="11" t="s">
        <v>79</v>
      </c>
      <c r="H175" s="20"/>
      <c r="I175" s="20"/>
      <c r="J175" s="20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8.0" customHeight="1">
      <c r="A176" s="5" t="s">
        <v>1006</v>
      </c>
      <c r="B176" s="6">
        <v>1.0</v>
      </c>
      <c r="C176" s="5" t="s">
        <v>756</v>
      </c>
      <c r="D176" s="6">
        <v>1.0</v>
      </c>
      <c r="E176" s="14">
        <v>502000.0</v>
      </c>
      <c r="F176" s="5" t="s">
        <v>406</v>
      </c>
      <c r="G176" s="11" t="s">
        <v>79</v>
      </c>
      <c r="H176" s="20"/>
      <c r="I176" s="20"/>
      <c r="J176" s="20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8.0" customHeight="1">
      <c r="A177" s="5" t="s">
        <v>1008</v>
      </c>
      <c r="B177" s="6">
        <v>1.0</v>
      </c>
      <c r="C177" s="5" t="s">
        <v>753</v>
      </c>
      <c r="D177" s="6">
        <v>1.0</v>
      </c>
      <c r="E177" s="14">
        <v>3572000.0</v>
      </c>
      <c r="F177" s="5" t="s">
        <v>258</v>
      </c>
      <c r="G177" s="11" t="s">
        <v>79</v>
      </c>
      <c r="H177" s="20"/>
      <c r="I177" s="20"/>
      <c r="J177" s="20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8.0" customHeight="1">
      <c r="A178" s="5" t="s">
        <v>1009</v>
      </c>
      <c r="B178" s="6">
        <v>1.0</v>
      </c>
      <c r="C178" s="5" t="s">
        <v>753</v>
      </c>
      <c r="D178" s="6">
        <v>1.0</v>
      </c>
      <c r="E178" s="14">
        <v>972000.0</v>
      </c>
      <c r="F178" s="5" t="s">
        <v>258</v>
      </c>
      <c r="G178" s="11" t="s">
        <v>79</v>
      </c>
      <c r="H178" s="20"/>
      <c r="I178" s="20"/>
      <c r="J178" s="20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8.0" customHeight="1">
      <c r="A179" s="5" t="s">
        <v>1010</v>
      </c>
      <c r="B179" s="6">
        <v>1.0</v>
      </c>
      <c r="C179" s="5" t="s">
        <v>756</v>
      </c>
      <c r="D179" s="6">
        <v>4.0</v>
      </c>
      <c r="E179" s="14">
        <v>3262000.0</v>
      </c>
      <c r="F179" s="5" t="s">
        <v>406</v>
      </c>
      <c r="G179" s="11" t="s">
        <v>79</v>
      </c>
      <c r="H179" s="20"/>
      <c r="I179" s="20"/>
      <c r="J179" s="20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8.0" customHeight="1">
      <c r="A180" s="5" t="s">
        <v>1012</v>
      </c>
      <c r="B180" s="6">
        <v>1.0</v>
      </c>
      <c r="C180" s="5" t="s">
        <v>753</v>
      </c>
      <c r="D180" s="6">
        <v>1.0</v>
      </c>
      <c r="E180" s="14">
        <v>3192000.0</v>
      </c>
      <c r="F180" s="5" t="s">
        <v>258</v>
      </c>
      <c r="G180" s="11" t="s">
        <v>79</v>
      </c>
      <c r="H180" s="20"/>
      <c r="I180" s="20"/>
      <c r="J180" s="20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8.0" customHeight="1">
      <c r="A181" s="5" t="s">
        <v>1014</v>
      </c>
      <c r="B181" s="6">
        <v>1.0</v>
      </c>
      <c r="C181" s="5" t="s">
        <v>754</v>
      </c>
      <c r="D181" s="6">
        <v>1.0</v>
      </c>
      <c r="E181" s="14">
        <v>1226000.0</v>
      </c>
      <c r="F181" s="5" t="s">
        <v>344</v>
      </c>
      <c r="G181" s="11" t="s">
        <v>79</v>
      </c>
      <c r="H181" s="20"/>
      <c r="I181" s="20"/>
      <c r="J181" s="20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8.0" customHeight="1">
      <c r="A182" s="5" t="s">
        <v>1015</v>
      </c>
      <c r="B182" s="6">
        <v>1.0</v>
      </c>
      <c r="C182" s="5" t="s">
        <v>750</v>
      </c>
      <c r="D182" s="6">
        <v>1.0</v>
      </c>
      <c r="E182" s="14">
        <v>1960000.0</v>
      </c>
      <c r="F182" s="5" t="s">
        <v>102</v>
      </c>
      <c r="G182" s="11" t="s">
        <v>79</v>
      </c>
      <c r="H182" s="20"/>
      <c r="I182" s="20"/>
      <c r="J182" s="20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8.0" customHeight="1">
      <c r="A183" s="5" t="s">
        <v>1017</v>
      </c>
      <c r="B183" s="6">
        <v>1.0</v>
      </c>
      <c r="C183" s="5" t="s">
        <v>754</v>
      </c>
      <c r="D183" s="6">
        <v>1.0</v>
      </c>
      <c r="E183" s="14">
        <v>2598000.0</v>
      </c>
      <c r="F183" s="5" t="s">
        <v>344</v>
      </c>
      <c r="G183" s="11" t="s">
        <v>79</v>
      </c>
      <c r="H183" s="20"/>
      <c r="I183" s="20"/>
      <c r="J183" s="20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8.0" customHeight="1">
      <c r="A184" s="5" t="s">
        <v>1019</v>
      </c>
      <c r="B184" s="6">
        <v>1.0</v>
      </c>
      <c r="C184" s="5" t="s">
        <v>756</v>
      </c>
      <c r="D184" s="6">
        <v>3.0</v>
      </c>
      <c r="E184" s="14">
        <v>921000.0</v>
      </c>
      <c r="F184" s="5" t="s">
        <v>406</v>
      </c>
      <c r="G184" s="11" t="s">
        <v>79</v>
      </c>
      <c r="H184" s="20"/>
      <c r="I184" s="20"/>
      <c r="J184" s="20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8.0" customHeight="1">
      <c r="A185" s="5" t="s">
        <v>1020</v>
      </c>
      <c r="B185" s="6">
        <v>1.0</v>
      </c>
      <c r="C185" s="5" t="s">
        <v>750</v>
      </c>
      <c r="D185" s="6">
        <v>1.0</v>
      </c>
      <c r="E185" s="14">
        <v>1462000.0</v>
      </c>
      <c r="F185" s="5" t="s">
        <v>102</v>
      </c>
      <c r="G185" s="11" t="s">
        <v>79</v>
      </c>
      <c r="H185" s="20"/>
      <c r="I185" s="20"/>
      <c r="J185" s="20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8.0" customHeight="1">
      <c r="A186" s="5" t="s">
        <v>1022</v>
      </c>
      <c r="B186" s="6">
        <v>1.0</v>
      </c>
      <c r="C186" s="5" t="s">
        <v>753</v>
      </c>
      <c r="D186" s="6">
        <v>1.0</v>
      </c>
      <c r="E186" s="14">
        <v>1192000.0</v>
      </c>
      <c r="F186" s="5" t="s">
        <v>258</v>
      </c>
      <c r="G186" s="11" t="s">
        <v>79</v>
      </c>
      <c r="H186" s="20"/>
      <c r="I186" s="20"/>
      <c r="J186" s="20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8.0" customHeight="1">
      <c r="A187" s="5" t="s">
        <v>1023</v>
      </c>
      <c r="B187" s="6">
        <v>1.0</v>
      </c>
      <c r="C187" s="5" t="s">
        <v>750</v>
      </c>
      <c r="D187" s="6">
        <v>1.0</v>
      </c>
      <c r="E187" s="14">
        <v>1154000.0</v>
      </c>
      <c r="F187" s="5" t="s">
        <v>102</v>
      </c>
      <c r="G187" s="11" t="s">
        <v>79</v>
      </c>
      <c r="H187" s="20"/>
      <c r="I187" s="20"/>
      <c r="J187" s="20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8.0" customHeight="1">
      <c r="A188" s="5" t="s">
        <v>1025</v>
      </c>
      <c r="B188" s="6">
        <v>1.0</v>
      </c>
      <c r="C188" s="5" t="s">
        <v>753</v>
      </c>
      <c r="D188" s="6">
        <v>1.0</v>
      </c>
      <c r="E188" s="14">
        <v>933000.0</v>
      </c>
      <c r="F188" s="5" t="s">
        <v>258</v>
      </c>
      <c r="G188" s="11" t="s">
        <v>79</v>
      </c>
      <c r="H188" s="20"/>
      <c r="I188" s="20"/>
      <c r="J188" s="20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8.0" customHeight="1">
      <c r="A189" s="5" t="s">
        <v>1027</v>
      </c>
      <c r="B189" s="6">
        <v>1.0</v>
      </c>
      <c r="C189" s="5" t="s">
        <v>754</v>
      </c>
      <c r="D189" s="6">
        <v>1.0</v>
      </c>
      <c r="E189" s="14">
        <v>753000.0</v>
      </c>
      <c r="F189" s="5" t="s">
        <v>344</v>
      </c>
      <c r="G189" s="11" t="s">
        <v>79</v>
      </c>
      <c r="H189" s="20"/>
      <c r="I189" s="20"/>
      <c r="J189" s="20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8.0" customHeight="1">
      <c r="A190" s="5" t="s">
        <v>1028</v>
      </c>
      <c r="B190" s="6">
        <v>1.0</v>
      </c>
      <c r="C190" s="5" t="s">
        <v>754</v>
      </c>
      <c r="D190" s="6">
        <v>1.0</v>
      </c>
      <c r="E190" s="14">
        <v>714000.0</v>
      </c>
      <c r="F190" s="5" t="s">
        <v>344</v>
      </c>
      <c r="G190" s="11" t="s">
        <v>79</v>
      </c>
      <c r="H190" s="20"/>
      <c r="I190" s="20"/>
      <c r="J190" s="20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8.0" customHeight="1">
      <c r="A191" s="5" t="s">
        <v>1030</v>
      </c>
      <c r="B191" s="6">
        <v>1.0</v>
      </c>
      <c r="C191" s="5" t="s">
        <v>750</v>
      </c>
      <c r="D191" s="6">
        <v>1.0</v>
      </c>
      <c r="E191" s="14">
        <v>3200000.0</v>
      </c>
      <c r="F191" s="5" t="s">
        <v>102</v>
      </c>
      <c r="G191" s="11" t="s">
        <v>79</v>
      </c>
      <c r="H191" s="20"/>
      <c r="I191" s="20"/>
      <c r="J191" s="20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8.0" customHeight="1">
      <c r="A192" s="5" t="s">
        <v>1031</v>
      </c>
      <c r="B192" s="6">
        <v>1.0</v>
      </c>
      <c r="C192" s="5" t="s">
        <v>756</v>
      </c>
      <c r="D192" s="6">
        <v>5.0</v>
      </c>
      <c r="E192" s="14">
        <v>2221000.0</v>
      </c>
      <c r="F192" s="5" t="s">
        <v>406</v>
      </c>
      <c r="G192" s="11" t="s">
        <v>79</v>
      </c>
      <c r="H192" s="20"/>
      <c r="I192" s="20"/>
      <c r="J192" s="20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8.0" customHeight="1">
      <c r="A193" s="5" t="s">
        <v>1033</v>
      </c>
      <c r="B193" s="6">
        <v>1.0</v>
      </c>
      <c r="C193" s="5" t="s">
        <v>753</v>
      </c>
      <c r="D193" s="6">
        <v>1.0</v>
      </c>
      <c r="E193" s="14">
        <v>2858000.0</v>
      </c>
      <c r="F193" s="5" t="s">
        <v>258</v>
      </c>
      <c r="G193" s="11" t="s">
        <v>79</v>
      </c>
      <c r="H193" s="20"/>
      <c r="I193" s="20"/>
      <c r="J193" s="20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8.0" customHeight="1">
      <c r="A194" s="5" t="s">
        <v>1035</v>
      </c>
      <c r="B194" s="6">
        <v>1.0</v>
      </c>
      <c r="C194" s="5" t="s">
        <v>756</v>
      </c>
      <c r="D194" s="6">
        <v>1.0</v>
      </c>
      <c r="E194" s="14">
        <v>2188000.0</v>
      </c>
      <c r="F194" s="5" t="s">
        <v>406</v>
      </c>
      <c r="G194" s="11" t="s">
        <v>79</v>
      </c>
      <c r="H194" s="20"/>
      <c r="I194" s="20"/>
      <c r="J194" s="20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8.0" customHeight="1">
      <c r="A195" s="5" t="s">
        <v>1036</v>
      </c>
      <c r="B195" s="6">
        <v>1.0</v>
      </c>
      <c r="C195" s="5" t="s">
        <v>754</v>
      </c>
      <c r="D195" s="6">
        <v>1.0</v>
      </c>
      <c r="E195" s="14">
        <v>206000.0</v>
      </c>
      <c r="F195" s="5" t="s">
        <v>344</v>
      </c>
      <c r="G195" s="11" t="s">
        <v>79</v>
      </c>
      <c r="H195" s="20"/>
      <c r="I195" s="20"/>
      <c r="J195" s="20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8.0" customHeight="1">
      <c r="A196" s="5" t="s">
        <v>1038</v>
      </c>
      <c r="B196" s="6">
        <v>1.0</v>
      </c>
      <c r="C196" s="5" t="s">
        <v>754</v>
      </c>
      <c r="D196" s="6">
        <v>1.0</v>
      </c>
      <c r="E196" s="14">
        <v>2202000.0</v>
      </c>
      <c r="F196" s="5" t="s">
        <v>344</v>
      </c>
      <c r="G196" s="11" t="s">
        <v>79</v>
      </c>
      <c r="H196" s="20"/>
      <c r="I196" s="20"/>
      <c r="J196" s="20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8.0" customHeight="1">
      <c r="A197" s="5" t="s">
        <v>1040</v>
      </c>
      <c r="B197" s="6">
        <v>1.0</v>
      </c>
      <c r="C197" s="5" t="s">
        <v>753</v>
      </c>
      <c r="D197" s="6">
        <v>1.0</v>
      </c>
      <c r="E197" s="14">
        <v>1195000.0</v>
      </c>
      <c r="F197" s="5" t="s">
        <v>258</v>
      </c>
      <c r="G197" s="11" t="s">
        <v>79</v>
      </c>
      <c r="H197" s="20"/>
      <c r="I197" s="20"/>
      <c r="J197" s="20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8.0" customHeight="1">
      <c r="A198" s="5" t="s">
        <v>1041</v>
      </c>
      <c r="B198" s="6">
        <v>1.0</v>
      </c>
      <c r="C198" s="5" t="s">
        <v>750</v>
      </c>
      <c r="D198" s="6">
        <v>1.0</v>
      </c>
      <c r="E198" s="14">
        <v>191000.0</v>
      </c>
      <c r="F198" s="5" t="s">
        <v>102</v>
      </c>
      <c r="G198" s="11" t="s">
        <v>79</v>
      </c>
      <c r="H198" s="20"/>
      <c r="I198" s="20"/>
      <c r="J198" s="20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8.0" customHeight="1">
      <c r="A199" s="5" t="s">
        <v>1043</v>
      </c>
      <c r="B199" s="6">
        <v>1.0</v>
      </c>
      <c r="C199" s="5" t="s">
        <v>754</v>
      </c>
      <c r="D199" s="6">
        <v>1.0</v>
      </c>
      <c r="E199" s="14">
        <v>288000.0</v>
      </c>
      <c r="F199" s="5" t="s">
        <v>344</v>
      </c>
      <c r="G199" s="11" t="s">
        <v>79</v>
      </c>
      <c r="H199" s="20"/>
      <c r="I199" s="20"/>
      <c r="J199" s="20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8.0" customHeight="1">
      <c r="A200" s="5" t="s">
        <v>1045</v>
      </c>
      <c r="B200" s="6">
        <v>1.0</v>
      </c>
      <c r="C200" s="5" t="s">
        <v>756</v>
      </c>
      <c r="D200" s="6">
        <v>1.0</v>
      </c>
      <c r="E200" s="14">
        <v>2452000.0</v>
      </c>
      <c r="F200" s="5" t="s">
        <v>406</v>
      </c>
      <c r="G200" s="11" t="s">
        <v>79</v>
      </c>
      <c r="H200" s="20"/>
      <c r="I200" s="20"/>
      <c r="J200" s="20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8.0" customHeight="1">
      <c r="A201" s="5" t="s">
        <v>1046</v>
      </c>
      <c r="B201" s="6">
        <v>1.0</v>
      </c>
      <c r="C201" s="5" t="s">
        <v>754</v>
      </c>
      <c r="D201" s="6">
        <v>1.0</v>
      </c>
      <c r="E201" s="14">
        <v>1952000.0</v>
      </c>
      <c r="F201" s="5" t="s">
        <v>344</v>
      </c>
      <c r="G201" s="11" t="s">
        <v>79</v>
      </c>
      <c r="H201" s="20"/>
      <c r="I201" s="20"/>
      <c r="J201" s="20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autoFilter ref="$A$1:$J$20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82C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7.75"/>
    <col customWidth="1" min="3" max="3" width="10.63"/>
    <col customWidth="1" min="4" max="4" width="18.13"/>
    <col customWidth="1" min="5" max="5" width="40.75"/>
    <col customWidth="1" min="6" max="6" width="17.38"/>
    <col customWidth="1" min="7" max="7" width="20.5"/>
    <col customWidth="1" min="8" max="8" width="10.0"/>
    <col customWidth="1" min="9" max="9" width="10.25"/>
  </cols>
  <sheetData>
    <row r="1" ht="27.0" customHeight="1">
      <c r="A1" s="1" t="s">
        <v>1320</v>
      </c>
      <c r="B1" s="1" t="s">
        <v>26</v>
      </c>
      <c r="C1" s="1" t="s">
        <v>1321</v>
      </c>
      <c r="D1" s="1" t="s">
        <v>1322</v>
      </c>
      <c r="E1" s="1" t="s">
        <v>1323</v>
      </c>
      <c r="F1" s="1" t="s">
        <v>1324</v>
      </c>
      <c r="G1" s="1" t="s">
        <v>1325</v>
      </c>
      <c r="H1" s="1" t="s">
        <v>53</v>
      </c>
      <c r="I1" s="1" t="s">
        <v>1326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8.0" customHeight="1">
      <c r="A2" s="5" t="s">
        <v>1329</v>
      </c>
      <c r="B2" s="5" t="s">
        <v>73</v>
      </c>
      <c r="C2" s="6">
        <v>4.0</v>
      </c>
      <c r="D2" s="9" t="s">
        <v>1330</v>
      </c>
      <c r="E2" s="9" t="s">
        <v>1331</v>
      </c>
      <c r="F2" s="12">
        <v>45908.31335648148</v>
      </c>
      <c r="G2" s="12">
        <v>45908.56335648148</v>
      </c>
      <c r="H2" s="5" t="s">
        <v>95</v>
      </c>
      <c r="I2" s="5" t="s">
        <v>1332</v>
      </c>
    </row>
    <row r="3" ht="18.0" customHeight="1">
      <c r="A3" s="5" t="s">
        <v>1333</v>
      </c>
      <c r="B3" s="5" t="s">
        <v>208</v>
      </c>
      <c r="C3" s="6">
        <v>5.0</v>
      </c>
      <c r="D3" s="9" t="s">
        <v>1330</v>
      </c>
      <c r="E3" s="9" t="s">
        <v>1335</v>
      </c>
      <c r="F3" s="12">
        <v>46143.771516203706</v>
      </c>
      <c r="G3" s="12">
        <v>46144.021516203706</v>
      </c>
      <c r="H3" s="5" t="s">
        <v>254</v>
      </c>
      <c r="I3" s="5" t="s">
        <v>1332</v>
      </c>
    </row>
    <row r="4" ht="18.0" customHeight="1">
      <c r="A4" s="5" t="s">
        <v>1336</v>
      </c>
      <c r="B4" s="5" t="s">
        <v>282</v>
      </c>
      <c r="C4" s="6">
        <v>3.0</v>
      </c>
      <c r="D4" s="9" t="s">
        <v>1337</v>
      </c>
      <c r="E4" s="9" t="s">
        <v>1338</v>
      </c>
      <c r="F4" s="12">
        <v>45816.419386574074</v>
      </c>
      <c r="G4" s="12">
        <v>45816.669386574074</v>
      </c>
      <c r="H4" s="5" t="s">
        <v>305</v>
      </c>
      <c r="I4" s="5" t="s">
        <v>1332</v>
      </c>
    </row>
    <row r="5" ht="18.0" customHeight="1">
      <c r="A5" s="5" t="s">
        <v>1340</v>
      </c>
      <c r="B5" s="5" t="s">
        <v>319</v>
      </c>
      <c r="C5" s="6">
        <v>3.0</v>
      </c>
      <c r="D5" s="9" t="s">
        <v>1337</v>
      </c>
      <c r="E5" s="9" t="s">
        <v>1338</v>
      </c>
      <c r="F5" s="12">
        <v>46124.63862268518</v>
      </c>
      <c r="G5" s="12">
        <v>46124.88862268518</v>
      </c>
      <c r="H5" s="5" t="s">
        <v>364</v>
      </c>
      <c r="I5" s="5" t="s">
        <v>1332</v>
      </c>
    </row>
    <row r="6" ht="18.0" customHeight="1">
      <c r="A6" s="5" t="s">
        <v>1341</v>
      </c>
      <c r="B6" s="5" t="s">
        <v>366</v>
      </c>
      <c r="C6" s="6">
        <v>5.0</v>
      </c>
      <c r="D6" s="9" t="s">
        <v>1330</v>
      </c>
      <c r="E6" s="9" t="s">
        <v>1331</v>
      </c>
      <c r="F6" s="12">
        <v>46207.925578703704</v>
      </c>
      <c r="G6" s="12">
        <v>46208.175578703704</v>
      </c>
      <c r="H6" s="5" t="s">
        <v>469</v>
      </c>
      <c r="I6" s="5" t="s">
        <v>1332</v>
      </c>
    </row>
    <row r="7" ht="18.0" customHeight="1">
      <c r="A7" s="5" t="s">
        <v>1343</v>
      </c>
      <c r="B7" s="5" t="s">
        <v>394</v>
      </c>
      <c r="C7" s="6">
        <v>4.0</v>
      </c>
      <c r="D7" s="9" t="s">
        <v>1330</v>
      </c>
      <c r="E7" s="9" t="s">
        <v>1344</v>
      </c>
      <c r="F7" s="12">
        <v>45801.55799768519</v>
      </c>
      <c r="G7" s="12">
        <v>45801.80799768519</v>
      </c>
      <c r="H7" s="5" t="s">
        <v>520</v>
      </c>
      <c r="I7" s="5" t="s">
        <v>1332</v>
      </c>
    </row>
    <row r="8" ht="18.0" customHeight="1">
      <c r="A8" s="5" t="s">
        <v>1345</v>
      </c>
      <c r="B8" s="5" t="s">
        <v>456</v>
      </c>
      <c r="C8" s="6">
        <v>5.0</v>
      </c>
      <c r="D8" s="9" t="s">
        <v>1330</v>
      </c>
      <c r="E8" s="9" t="s">
        <v>1335</v>
      </c>
      <c r="F8" s="12">
        <v>45527.833969907406</v>
      </c>
      <c r="G8" s="12">
        <v>45528.083969907406</v>
      </c>
      <c r="H8" s="5" t="s">
        <v>246</v>
      </c>
      <c r="I8" s="5" t="s">
        <v>1332</v>
      </c>
    </row>
    <row r="9" ht="18.0" customHeight="1">
      <c r="A9" s="5" t="s">
        <v>1346</v>
      </c>
      <c r="B9" s="5" t="s">
        <v>575</v>
      </c>
      <c r="C9" s="6">
        <v>5.0</v>
      </c>
      <c r="D9" s="9" t="s">
        <v>1330</v>
      </c>
      <c r="E9" s="9" t="s">
        <v>1347</v>
      </c>
      <c r="F9" s="12">
        <v>45358.11082175926</v>
      </c>
      <c r="G9" s="12">
        <v>45358.36082175926</v>
      </c>
      <c r="H9" s="5" t="s">
        <v>387</v>
      </c>
      <c r="I9" s="5" t="s">
        <v>1332</v>
      </c>
    </row>
    <row r="10" ht="18.0" customHeight="1">
      <c r="A10" s="5" t="s">
        <v>1348</v>
      </c>
      <c r="B10" s="5" t="s">
        <v>586</v>
      </c>
      <c r="C10" s="6">
        <v>3.0</v>
      </c>
      <c r="D10" s="9" t="s">
        <v>1337</v>
      </c>
      <c r="E10" s="9" t="s">
        <v>1347</v>
      </c>
      <c r="F10" s="12">
        <v>45795.63340277778</v>
      </c>
      <c r="G10" s="12">
        <v>45795.88340277778</v>
      </c>
      <c r="H10" s="5" t="s">
        <v>267</v>
      </c>
      <c r="I10" s="5" t="s">
        <v>1332</v>
      </c>
    </row>
    <row r="11" ht="18.0" customHeight="1">
      <c r="A11" s="5" t="s">
        <v>1350</v>
      </c>
      <c r="B11" s="5" t="s">
        <v>656</v>
      </c>
      <c r="C11" s="6">
        <v>5.0</v>
      </c>
      <c r="D11" s="9" t="s">
        <v>1330</v>
      </c>
      <c r="E11" s="9" t="s">
        <v>1331</v>
      </c>
      <c r="F11" s="12">
        <v>45758.178611111114</v>
      </c>
      <c r="G11" s="12">
        <v>45758.428611111114</v>
      </c>
      <c r="H11" s="5" t="s">
        <v>114</v>
      </c>
      <c r="I11" s="5" t="s">
        <v>1332</v>
      </c>
    </row>
    <row r="12" ht="18.0" customHeight="1">
      <c r="A12" s="5" t="s">
        <v>1351</v>
      </c>
      <c r="B12" s="5" t="s">
        <v>664</v>
      </c>
      <c r="C12" s="6">
        <v>3.0</v>
      </c>
      <c r="D12" s="9" t="s">
        <v>1337</v>
      </c>
      <c r="E12" s="9" t="s">
        <v>1331</v>
      </c>
      <c r="F12" s="12">
        <v>45797.098645833335</v>
      </c>
      <c r="G12" s="12">
        <v>45797.348645833335</v>
      </c>
      <c r="H12" s="5" t="s">
        <v>459</v>
      </c>
      <c r="I12" s="5" t="s">
        <v>1332</v>
      </c>
    </row>
    <row r="13" ht="18.0" customHeight="1">
      <c r="A13" s="5" t="s">
        <v>1353</v>
      </c>
      <c r="B13" s="5" t="s">
        <v>689</v>
      </c>
      <c r="C13" s="6">
        <v>5.0</v>
      </c>
      <c r="D13" s="9" t="s">
        <v>1330</v>
      </c>
      <c r="E13" s="9" t="s">
        <v>1331</v>
      </c>
      <c r="F13" s="12">
        <v>45329.59243055555</v>
      </c>
      <c r="G13" s="12">
        <v>45329.84243055555</v>
      </c>
      <c r="H13" s="5" t="s">
        <v>267</v>
      </c>
      <c r="I13" s="5" t="s">
        <v>1332</v>
      </c>
    </row>
    <row r="14" ht="18.0" customHeight="1">
      <c r="A14" s="5" t="s">
        <v>1354</v>
      </c>
      <c r="B14" s="5" t="s">
        <v>699</v>
      </c>
      <c r="C14" s="6">
        <v>1.0</v>
      </c>
      <c r="D14" s="9" t="s">
        <v>1356</v>
      </c>
      <c r="E14" s="9" t="s">
        <v>1357</v>
      </c>
      <c r="F14" s="12">
        <v>45408.03335648148</v>
      </c>
      <c r="G14" s="12">
        <v>45408.28335648148</v>
      </c>
      <c r="H14" s="5" t="s">
        <v>364</v>
      </c>
      <c r="I14" s="5" t="s">
        <v>1332</v>
      </c>
    </row>
    <row r="15" ht="18.0" customHeight="1">
      <c r="A15" s="5" t="s">
        <v>1358</v>
      </c>
      <c r="B15" s="5" t="s">
        <v>709</v>
      </c>
      <c r="C15" s="6">
        <v>3.0</v>
      </c>
      <c r="D15" s="9" t="s">
        <v>1337</v>
      </c>
      <c r="E15" s="9" t="s">
        <v>1344</v>
      </c>
      <c r="F15" s="12">
        <v>45793.58846064815</v>
      </c>
      <c r="G15" s="12">
        <v>45793.83846064815</v>
      </c>
      <c r="H15" s="5" t="s">
        <v>221</v>
      </c>
      <c r="I15" s="5" t="s">
        <v>1332</v>
      </c>
    </row>
    <row r="16" ht="18.0" customHeight="1">
      <c r="A16" s="5" t="s">
        <v>1359</v>
      </c>
      <c r="B16" s="5" t="s">
        <v>712</v>
      </c>
      <c r="C16" s="6">
        <v>5.0</v>
      </c>
      <c r="D16" s="9" t="s">
        <v>1330</v>
      </c>
      <c r="E16" s="9" t="s">
        <v>1331</v>
      </c>
      <c r="F16" s="12">
        <v>46195.64072916667</v>
      </c>
      <c r="G16" s="12">
        <v>46195.89072916667</v>
      </c>
      <c r="H16" s="5" t="s">
        <v>566</v>
      </c>
      <c r="I16" s="5" t="s">
        <v>1332</v>
      </c>
    </row>
    <row r="17" ht="18.0" customHeight="1">
      <c r="A17" s="5" t="s">
        <v>1360</v>
      </c>
      <c r="B17" s="5" t="s">
        <v>714</v>
      </c>
      <c r="C17" s="6">
        <v>5.0</v>
      </c>
      <c r="D17" s="9" t="s">
        <v>1330</v>
      </c>
      <c r="E17" s="9" t="s">
        <v>1335</v>
      </c>
      <c r="F17" s="12">
        <v>45779.052708333336</v>
      </c>
      <c r="G17" s="12">
        <v>45779.302708333336</v>
      </c>
      <c r="H17" s="5" t="s">
        <v>499</v>
      </c>
      <c r="I17" s="5" t="s">
        <v>1332</v>
      </c>
    </row>
    <row r="18" ht="18.0" customHeight="1">
      <c r="A18" s="5" t="s">
        <v>1362</v>
      </c>
      <c r="B18" s="5" t="s">
        <v>725</v>
      </c>
      <c r="C18" s="6">
        <v>4.0</v>
      </c>
      <c r="D18" s="9" t="s">
        <v>1330</v>
      </c>
      <c r="E18" s="9" t="s">
        <v>1338</v>
      </c>
      <c r="F18" s="12">
        <v>45418.55003472222</v>
      </c>
      <c r="G18" s="12">
        <v>45418.80003472222</v>
      </c>
      <c r="H18" s="5" t="s">
        <v>221</v>
      </c>
      <c r="I18" s="5" t="s">
        <v>1332</v>
      </c>
    </row>
    <row r="19" ht="18.0" customHeight="1">
      <c r="A19" s="5" t="s">
        <v>1363</v>
      </c>
      <c r="B19" s="5" t="s">
        <v>731</v>
      </c>
      <c r="C19" s="6">
        <v>1.0</v>
      </c>
      <c r="D19" s="9" t="s">
        <v>1356</v>
      </c>
      <c r="E19" s="9" t="s">
        <v>1357</v>
      </c>
      <c r="F19" s="12">
        <v>45482.779444444444</v>
      </c>
      <c r="G19" s="12">
        <v>45483.029444444444</v>
      </c>
      <c r="H19" s="5" t="s">
        <v>83</v>
      </c>
      <c r="I19" s="5" t="s">
        <v>1332</v>
      </c>
    </row>
    <row r="20" ht="18.0" customHeight="1">
      <c r="A20" s="5" t="s">
        <v>1365</v>
      </c>
      <c r="B20" s="5" t="s">
        <v>734</v>
      </c>
      <c r="C20" s="6">
        <v>5.0</v>
      </c>
      <c r="D20" s="9" t="s">
        <v>1330</v>
      </c>
      <c r="E20" s="9" t="s">
        <v>1347</v>
      </c>
      <c r="F20" s="12">
        <v>46231.93883101852</v>
      </c>
      <c r="G20" s="12">
        <v>46232.18883101852</v>
      </c>
      <c r="H20" s="5" t="s">
        <v>475</v>
      </c>
      <c r="I20" s="5" t="s">
        <v>1332</v>
      </c>
    </row>
    <row r="21" ht="18.0" customHeight="1">
      <c r="A21" s="5" t="s">
        <v>1366</v>
      </c>
      <c r="B21" s="5" t="s">
        <v>748</v>
      </c>
      <c r="C21" s="6">
        <v>3.0</v>
      </c>
      <c r="D21" s="9" t="s">
        <v>1337</v>
      </c>
      <c r="E21" s="9" t="s">
        <v>1347</v>
      </c>
      <c r="F21" s="12">
        <v>45629.08042824074</v>
      </c>
      <c r="G21" s="12">
        <v>45629.33042824074</v>
      </c>
      <c r="H21" s="5" t="s">
        <v>36</v>
      </c>
      <c r="I21" s="5" t="s">
        <v>1332</v>
      </c>
    </row>
    <row r="22" ht="18.0" customHeight="1">
      <c r="A22" s="5" t="s">
        <v>1368</v>
      </c>
      <c r="B22" s="5" t="s">
        <v>757</v>
      </c>
      <c r="C22" s="6">
        <v>1.0</v>
      </c>
      <c r="D22" s="9" t="s">
        <v>1356</v>
      </c>
      <c r="E22" s="9" t="s">
        <v>1357</v>
      </c>
      <c r="F22" s="12">
        <v>45403.13853009259</v>
      </c>
      <c r="G22" s="12">
        <v>45403.38853009259</v>
      </c>
      <c r="H22" s="5" t="s">
        <v>114</v>
      </c>
      <c r="I22" s="5" t="s">
        <v>1332</v>
      </c>
    </row>
    <row r="23" ht="18.0" customHeight="1">
      <c r="A23" s="5" t="s">
        <v>1369</v>
      </c>
      <c r="B23" s="5" t="s">
        <v>761</v>
      </c>
      <c r="C23" s="6">
        <v>4.0</v>
      </c>
      <c r="D23" s="9" t="s">
        <v>1330</v>
      </c>
      <c r="E23" s="9" t="s">
        <v>1347</v>
      </c>
      <c r="F23" s="12">
        <v>45419.908842592595</v>
      </c>
      <c r="G23" s="12">
        <v>45420.158842592595</v>
      </c>
      <c r="H23" s="5" t="s">
        <v>315</v>
      </c>
      <c r="I23" s="5" t="s">
        <v>1332</v>
      </c>
    </row>
    <row r="24" ht="18.0" customHeight="1">
      <c r="A24" s="5" t="s">
        <v>1371</v>
      </c>
      <c r="B24" s="5" t="s">
        <v>775</v>
      </c>
      <c r="C24" s="6">
        <v>4.0</v>
      </c>
      <c r="D24" s="9" t="s">
        <v>1330</v>
      </c>
      <c r="E24" s="9" t="s">
        <v>1344</v>
      </c>
      <c r="F24" s="12">
        <v>45996.33993055556</v>
      </c>
      <c r="G24" s="12">
        <v>45996.58993055556</v>
      </c>
      <c r="H24" s="5" t="s">
        <v>467</v>
      </c>
      <c r="I24" s="5" t="s">
        <v>1332</v>
      </c>
    </row>
    <row r="25" ht="18.0" customHeight="1">
      <c r="A25" s="5" t="s">
        <v>1372</v>
      </c>
      <c r="B25" s="5" t="s">
        <v>778</v>
      </c>
      <c r="C25" s="6">
        <v>4.0</v>
      </c>
      <c r="D25" s="9" t="s">
        <v>1330</v>
      </c>
      <c r="E25" s="9" t="s">
        <v>1347</v>
      </c>
      <c r="F25" s="12">
        <v>45734.270104166666</v>
      </c>
      <c r="G25" s="12">
        <v>45734.520104166666</v>
      </c>
      <c r="H25" s="5" t="s">
        <v>150</v>
      </c>
      <c r="I25" s="5" t="s">
        <v>1332</v>
      </c>
    </row>
    <row r="26" ht="18.0" customHeight="1">
      <c r="A26" s="5" t="s">
        <v>1374</v>
      </c>
      <c r="B26" s="5" t="s">
        <v>786</v>
      </c>
      <c r="C26" s="6">
        <v>3.0</v>
      </c>
      <c r="D26" s="9" t="s">
        <v>1337</v>
      </c>
      <c r="E26" s="9" t="s">
        <v>1338</v>
      </c>
      <c r="F26" s="12">
        <v>45930.19678240741</v>
      </c>
      <c r="G26" s="12">
        <v>45930.44678240741</v>
      </c>
      <c r="H26" s="5" t="s">
        <v>512</v>
      </c>
      <c r="I26" s="5" t="s">
        <v>1332</v>
      </c>
    </row>
    <row r="27" ht="18.0" customHeight="1">
      <c r="A27" s="5" t="s">
        <v>1375</v>
      </c>
      <c r="B27" s="5" t="s">
        <v>793</v>
      </c>
      <c r="C27" s="6">
        <v>1.0</v>
      </c>
      <c r="D27" s="9" t="s">
        <v>1356</v>
      </c>
      <c r="E27" s="9" t="s">
        <v>1357</v>
      </c>
      <c r="F27" s="12">
        <v>45845.628657407404</v>
      </c>
      <c r="G27" s="12">
        <v>45845.878657407404</v>
      </c>
      <c r="H27" s="5" t="s">
        <v>467</v>
      </c>
      <c r="I27" s="5" t="s">
        <v>1332</v>
      </c>
    </row>
    <row r="28" ht="18.0" customHeight="1">
      <c r="A28" s="5" t="s">
        <v>1376</v>
      </c>
      <c r="B28" s="5" t="s">
        <v>796</v>
      </c>
      <c r="C28" s="6">
        <v>4.0</v>
      </c>
      <c r="D28" s="9" t="s">
        <v>1330</v>
      </c>
      <c r="E28" s="9" t="s">
        <v>1344</v>
      </c>
      <c r="F28" s="12">
        <v>45445.86518518518</v>
      </c>
      <c r="G28" s="12">
        <v>45446.11518518518</v>
      </c>
      <c r="H28" s="5" t="s">
        <v>267</v>
      </c>
      <c r="I28" s="5" t="s">
        <v>1332</v>
      </c>
    </row>
    <row r="29" ht="18.0" customHeight="1">
      <c r="A29" s="5" t="s">
        <v>1378</v>
      </c>
      <c r="B29" s="5" t="s">
        <v>797</v>
      </c>
      <c r="C29" s="6">
        <v>4.0</v>
      </c>
      <c r="D29" s="9" t="s">
        <v>1330</v>
      </c>
      <c r="E29" s="9" t="s">
        <v>1338</v>
      </c>
      <c r="F29" s="12">
        <v>45976.29966435185</v>
      </c>
      <c r="G29" s="12">
        <v>45976.54966435185</v>
      </c>
      <c r="H29" s="5" t="s">
        <v>315</v>
      </c>
      <c r="I29" s="5" t="s">
        <v>1332</v>
      </c>
    </row>
    <row r="30" ht="18.0" customHeight="1">
      <c r="A30" s="5" t="s">
        <v>1379</v>
      </c>
      <c r="B30" s="5" t="s">
        <v>799</v>
      </c>
      <c r="C30" s="6">
        <v>5.0</v>
      </c>
      <c r="D30" s="9" t="s">
        <v>1330</v>
      </c>
      <c r="E30" s="9" t="s">
        <v>1344</v>
      </c>
      <c r="F30" s="12">
        <v>45314.77307870371</v>
      </c>
      <c r="G30" s="12">
        <v>45315.02307870371</v>
      </c>
      <c r="H30" s="5" t="s">
        <v>213</v>
      </c>
      <c r="I30" s="5" t="s">
        <v>1332</v>
      </c>
    </row>
    <row r="31" ht="18.0" customHeight="1">
      <c r="A31" s="5" t="s">
        <v>1381</v>
      </c>
      <c r="B31" s="5" t="s">
        <v>802</v>
      </c>
      <c r="C31" s="6">
        <v>4.0</v>
      </c>
      <c r="D31" s="9" t="s">
        <v>1330</v>
      </c>
      <c r="E31" s="9" t="s">
        <v>1335</v>
      </c>
      <c r="F31" s="12">
        <v>46066.37898148148</v>
      </c>
      <c r="G31" s="12">
        <v>46066.62898148148</v>
      </c>
      <c r="H31" s="5" t="s">
        <v>190</v>
      </c>
      <c r="I31" s="5" t="s">
        <v>1332</v>
      </c>
    </row>
    <row r="32" ht="18.0" customHeight="1">
      <c r="A32" s="5" t="s">
        <v>1382</v>
      </c>
      <c r="B32" s="5" t="s">
        <v>804</v>
      </c>
      <c r="C32" s="6">
        <v>2.0</v>
      </c>
      <c r="D32" s="9" t="s">
        <v>1356</v>
      </c>
      <c r="E32" s="9" t="s">
        <v>1384</v>
      </c>
      <c r="F32" s="12">
        <v>45412.53258101852</v>
      </c>
      <c r="G32" s="12">
        <v>45412.78258101852</v>
      </c>
      <c r="H32" s="5" t="s">
        <v>295</v>
      </c>
      <c r="I32" s="5" t="s">
        <v>1332</v>
      </c>
    </row>
    <row r="33" ht="18.0" customHeight="1">
      <c r="A33" s="5" t="s">
        <v>1385</v>
      </c>
      <c r="B33" s="5" t="s">
        <v>806</v>
      </c>
      <c r="C33" s="6">
        <v>5.0</v>
      </c>
      <c r="D33" s="9" t="s">
        <v>1330</v>
      </c>
      <c r="E33" s="9" t="s">
        <v>1338</v>
      </c>
      <c r="F33" s="12">
        <v>45555.13165509259</v>
      </c>
      <c r="G33" s="12">
        <v>45555.38165509259</v>
      </c>
      <c r="H33" s="5" t="s">
        <v>131</v>
      </c>
      <c r="I33" s="5" t="s">
        <v>1332</v>
      </c>
    </row>
    <row r="34" ht="18.0" customHeight="1">
      <c r="A34" s="5" t="s">
        <v>1386</v>
      </c>
      <c r="B34" s="5" t="s">
        <v>807</v>
      </c>
      <c r="C34" s="6">
        <v>5.0</v>
      </c>
      <c r="D34" s="9" t="s">
        <v>1330</v>
      </c>
      <c r="E34" s="9" t="s">
        <v>1347</v>
      </c>
      <c r="F34" s="12">
        <v>45873.89114583333</v>
      </c>
      <c r="G34" s="12">
        <v>45874.14114583333</v>
      </c>
      <c r="H34" s="5" t="s">
        <v>182</v>
      </c>
      <c r="I34" s="5" t="s">
        <v>1332</v>
      </c>
    </row>
    <row r="35" ht="18.0" customHeight="1">
      <c r="A35" s="5" t="s">
        <v>1388</v>
      </c>
      <c r="B35" s="5" t="s">
        <v>809</v>
      </c>
      <c r="C35" s="6">
        <v>3.0</v>
      </c>
      <c r="D35" s="9" t="s">
        <v>1337</v>
      </c>
      <c r="E35" s="9" t="s">
        <v>1338</v>
      </c>
      <c r="F35" s="12">
        <v>45381.459074074075</v>
      </c>
      <c r="G35" s="12">
        <v>45381.709074074075</v>
      </c>
      <c r="H35" s="5" t="s">
        <v>95</v>
      </c>
      <c r="I35" s="5" t="s">
        <v>1332</v>
      </c>
    </row>
    <row r="36" ht="18.0" customHeight="1">
      <c r="A36" s="5" t="s">
        <v>1389</v>
      </c>
      <c r="B36" s="5" t="s">
        <v>810</v>
      </c>
      <c r="C36" s="6">
        <v>3.0</v>
      </c>
      <c r="D36" s="9" t="s">
        <v>1337</v>
      </c>
      <c r="E36" s="9" t="s">
        <v>1335</v>
      </c>
      <c r="F36" s="12">
        <v>45474.87372685185</v>
      </c>
      <c r="G36" s="12">
        <v>45475.12372685185</v>
      </c>
      <c r="H36" s="5" t="s">
        <v>131</v>
      </c>
      <c r="I36" s="5" t="s">
        <v>1332</v>
      </c>
    </row>
    <row r="37" ht="18.0" customHeight="1">
      <c r="A37" s="5" t="s">
        <v>1391</v>
      </c>
      <c r="B37" s="5" t="s">
        <v>813</v>
      </c>
      <c r="C37" s="6">
        <v>4.0</v>
      </c>
      <c r="D37" s="9" t="s">
        <v>1330</v>
      </c>
      <c r="E37" s="9" t="s">
        <v>1344</v>
      </c>
      <c r="F37" s="12">
        <v>46181.137974537036</v>
      </c>
      <c r="G37" s="12">
        <v>46181.387974537036</v>
      </c>
      <c r="H37" s="5" t="s">
        <v>378</v>
      </c>
      <c r="I37" s="5" t="s">
        <v>1332</v>
      </c>
    </row>
    <row r="38" ht="18.0" customHeight="1">
      <c r="A38" s="5" t="s">
        <v>1392</v>
      </c>
      <c r="B38" s="5" t="s">
        <v>815</v>
      </c>
      <c r="C38" s="6">
        <v>2.0</v>
      </c>
      <c r="D38" s="9" t="s">
        <v>1356</v>
      </c>
      <c r="E38" s="9" t="s">
        <v>1357</v>
      </c>
      <c r="F38" s="12">
        <v>45801.63512731482</v>
      </c>
      <c r="G38" s="12">
        <v>45801.88512731482</v>
      </c>
      <c r="H38" s="5" t="s">
        <v>305</v>
      </c>
      <c r="I38" s="5" t="s">
        <v>1332</v>
      </c>
    </row>
    <row r="39" ht="18.0" customHeight="1">
      <c r="A39" s="5" t="s">
        <v>1394</v>
      </c>
      <c r="B39" s="5" t="s">
        <v>816</v>
      </c>
      <c r="C39" s="6">
        <v>5.0</v>
      </c>
      <c r="D39" s="9" t="s">
        <v>1330</v>
      </c>
      <c r="E39" s="9" t="s">
        <v>1347</v>
      </c>
      <c r="F39" s="12">
        <v>45514.395902777775</v>
      </c>
      <c r="G39" s="12">
        <v>45514.645902777775</v>
      </c>
      <c r="H39" s="5" t="s">
        <v>201</v>
      </c>
      <c r="I39" s="5" t="s">
        <v>1332</v>
      </c>
    </row>
    <row r="40" ht="18.0" customHeight="1">
      <c r="A40" s="5" t="s">
        <v>1395</v>
      </c>
      <c r="B40" s="5" t="s">
        <v>818</v>
      </c>
      <c r="C40" s="6">
        <v>3.0</v>
      </c>
      <c r="D40" s="9" t="s">
        <v>1337</v>
      </c>
      <c r="E40" s="9" t="s">
        <v>1338</v>
      </c>
      <c r="F40" s="12">
        <v>45785.03548611111</v>
      </c>
      <c r="G40" s="12">
        <v>45785.28548611111</v>
      </c>
      <c r="H40" s="5" t="s">
        <v>349</v>
      </c>
      <c r="I40" s="5" t="s">
        <v>1332</v>
      </c>
    </row>
    <row r="41" ht="18.0" customHeight="1">
      <c r="A41" s="5" t="s">
        <v>1396</v>
      </c>
      <c r="B41" s="5" t="s">
        <v>819</v>
      </c>
      <c r="C41" s="6">
        <v>4.0</v>
      </c>
      <c r="D41" s="9" t="s">
        <v>1330</v>
      </c>
      <c r="E41" s="9" t="s">
        <v>1344</v>
      </c>
      <c r="F41" s="12">
        <v>45366.12917824074</v>
      </c>
      <c r="G41" s="12">
        <v>45366.37917824074</v>
      </c>
      <c r="H41" s="5" t="s">
        <v>330</v>
      </c>
      <c r="I41" s="5" t="s">
        <v>1332</v>
      </c>
    </row>
    <row r="42" ht="18.0" customHeight="1">
      <c r="A42" s="5" t="s">
        <v>1397</v>
      </c>
      <c r="B42" s="5" t="s">
        <v>821</v>
      </c>
      <c r="C42" s="6">
        <v>5.0</v>
      </c>
      <c r="D42" s="9" t="s">
        <v>1330</v>
      </c>
      <c r="E42" s="9" t="s">
        <v>1347</v>
      </c>
      <c r="F42" s="12">
        <v>45944.754907407405</v>
      </c>
      <c r="G42" s="12">
        <v>45945.004907407405</v>
      </c>
      <c r="H42" s="5" t="s">
        <v>229</v>
      </c>
      <c r="I42" s="5" t="s">
        <v>1332</v>
      </c>
    </row>
    <row r="43" ht="18.0" customHeight="1">
      <c r="A43" s="5" t="s">
        <v>1399</v>
      </c>
      <c r="B43" s="5" t="s">
        <v>823</v>
      </c>
      <c r="C43" s="6">
        <v>5.0</v>
      </c>
      <c r="D43" s="9" t="s">
        <v>1330</v>
      </c>
      <c r="E43" s="9" t="s">
        <v>1344</v>
      </c>
      <c r="F43" s="12">
        <v>45688.50015046296</v>
      </c>
      <c r="G43" s="12">
        <v>45688.75015046296</v>
      </c>
      <c r="H43" s="5" t="s">
        <v>499</v>
      </c>
      <c r="I43" s="5" t="s">
        <v>1332</v>
      </c>
    </row>
    <row r="44" ht="18.0" customHeight="1">
      <c r="A44" s="5" t="s">
        <v>1400</v>
      </c>
      <c r="B44" s="5" t="s">
        <v>824</v>
      </c>
      <c r="C44" s="6">
        <v>3.0</v>
      </c>
      <c r="D44" s="9" t="s">
        <v>1337</v>
      </c>
      <c r="E44" s="9" t="s">
        <v>1347</v>
      </c>
      <c r="F44" s="12">
        <v>46152.1156712963</v>
      </c>
      <c r="G44" s="12">
        <v>46152.3656712963</v>
      </c>
      <c r="H44" s="5" t="s">
        <v>182</v>
      </c>
      <c r="I44" s="5" t="s">
        <v>1332</v>
      </c>
    </row>
    <row r="45" ht="18.0" customHeight="1">
      <c r="A45" s="5" t="s">
        <v>1402</v>
      </c>
      <c r="B45" s="5" t="s">
        <v>827</v>
      </c>
      <c r="C45" s="6">
        <v>5.0</v>
      </c>
      <c r="D45" s="9" t="s">
        <v>1330</v>
      </c>
      <c r="E45" s="9" t="s">
        <v>1331</v>
      </c>
      <c r="F45" s="12">
        <v>45782.128275462965</v>
      </c>
      <c r="G45" s="12">
        <v>45782.378275462965</v>
      </c>
      <c r="H45" s="5" t="s">
        <v>512</v>
      </c>
      <c r="I45" s="5" t="s">
        <v>1332</v>
      </c>
    </row>
    <row r="46" ht="18.0" customHeight="1">
      <c r="A46" s="5" t="s">
        <v>1403</v>
      </c>
      <c r="B46" s="5" t="s">
        <v>835</v>
      </c>
      <c r="C46" s="6">
        <v>3.0</v>
      </c>
      <c r="D46" s="9" t="s">
        <v>1337</v>
      </c>
      <c r="E46" s="9" t="s">
        <v>1338</v>
      </c>
      <c r="F46" s="12">
        <v>45917.01603009259</v>
      </c>
      <c r="G46" s="12">
        <v>45917.26603009259</v>
      </c>
      <c r="H46" s="5" t="s">
        <v>552</v>
      </c>
      <c r="I46" s="5" t="s">
        <v>1332</v>
      </c>
    </row>
    <row r="47" ht="18.0" customHeight="1">
      <c r="A47" s="5" t="s">
        <v>1405</v>
      </c>
      <c r="B47" s="5" t="s">
        <v>836</v>
      </c>
      <c r="C47" s="6">
        <v>4.0</v>
      </c>
      <c r="D47" s="9" t="s">
        <v>1330</v>
      </c>
      <c r="E47" s="9" t="s">
        <v>1335</v>
      </c>
      <c r="F47" s="12">
        <v>45993.436111111114</v>
      </c>
      <c r="G47" s="12">
        <v>45993.686111111114</v>
      </c>
      <c r="H47" s="5" t="s">
        <v>170</v>
      </c>
      <c r="I47" s="5" t="s">
        <v>1332</v>
      </c>
    </row>
    <row r="48" ht="18.0" customHeight="1">
      <c r="A48" s="5" t="s">
        <v>1407</v>
      </c>
      <c r="B48" s="5" t="s">
        <v>839</v>
      </c>
      <c r="C48" s="6">
        <v>5.0</v>
      </c>
      <c r="D48" s="9" t="s">
        <v>1330</v>
      </c>
      <c r="E48" s="9" t="s">
        <v>1338</v>
      </c>
      <c r="F48" s="12">
        <v>46175.921585648146</v>
      </c>
      <c r="G48" s="12">
        <v>46176.171585648146</v>
      </c>
      <c r="H48" s="5" t="s">
        <v>68</v>
      </c>
      <c r="I48" s="5" t="s">
        <v>1332</v>
      </c>
    </row>
    <row r="49" ht="18.0" customHeight="1">
      <c r="A49" s="5" t="s">
        <v>1408</v>
      </c>
      <c r="B49" s="5" t="s">
        <v>845</v>
      </c>
      <c r="C49" s="6">
        <v>4.0</v>
      </c>
      <c r="D49" s="9" t="s">
        <v>1330</v>
      </c>
      <c r="E49" s="9" t="s">
        <v>1347</v>
      </c>
      <c r="F49" s="12">
        <v>45644.817881944444</v>
      </c>
      <c r="G49" s="12">
        <v>45645.067881944444</v>
      </c>
      <c r="H49" s="5" t="s">
        <v>536</v>
      </c>
      <c r="I49" s="5" t="s">
        <v>1332</v>
      </c>
    </row>
    <row r="50" ht="18.0" customHeight="1">
      <c r="A50" s="5" t="s">
        <v>1410</v>
      </c>
      <c r="B50" s="5" t="s">
        <v>848</v>
      </c>
      <c r="C50" s="6">
        <v>4.0</v>
      </c>
      <c r="D50" s="9" t="s">
        <v>1330</v>
      </c>
      <c r="E50" s="9" t="s">
        <v>1331</v>
      </c>
      <c r="F50" s="12">
        <v>46054.03246527778</v>
      </c>
      <c r="G50" s="12">
        <v>46054.28246527778</v>
      </c>
      <c r="H50" s="5" t="s">
        <v>378</v>
      </c>
      <c r="I50" s="5" t="s">
        <v>1332</v>
      </c>
    </row>
    <row r="51" ht="18.0" customHeight="1">
      <c r="A51" s="5" t="s">
        <v>1412</v>
      </c>
      <c r="B51" s="5" t="s">
        <v>850</v>
      </c>
      <c r="C51" s="6">
        <v>4.0</v>
      </c>
      <c r="D51" s="9" t="s">
        <v>1330</v>
      </c>
      <c r="E51" s="9" t="s">
        <v>1335</v>
      </c>
      <c r="F51" s="12">
        <v>45876.90168981482</v>
      </c>
      <c r="G51" s="12">
        <v>45877.15168981482</v>
      </c>
      <c r="H51" s="5" t="s">
        <v>170</v>
      </c>
      <c r="I51" s="5" t="s">
        <v>1332</v>
      </c>
    </row>
    <row r="52" ht="18.0" customHeight="1">
      <c r="A52" s="5" t="s">
        <v>1413</v>
      </c>
      <c r="B52" s="5" t="s">
        <v>851</v>
      </c>
      <c r="C52" s="6">
        <v>4.0</v>
      </c>
      <c r="D52" s="9" t="s">
        <v>1330</v>
      </c>
      <c r="E52" s="9" t="s">
        <v>1347</v>
      </c>
      <c r="F52" s="12">
        <v>45867.475381944445</v>
      </c>
      <c r="G52" s="12">
        <v>45867.725381944445</v>
      </c>
      <c r="H52" s="5" t="s">
        <v>277</v>
      </c>
      <c r="I52" s="5" t="s">
        <v>1332</v>
      </c>
    </row>
    <row r="53" ht="18.0" customHeight="1">
      <c r="A53" s="5" t="s">
        <v>1415</v>
      </c>
      <c r="B53" s="5" t="s">
        <v>853</v>
      </c>
      <c r="C53" s="6">
        <v>3.0</v>
      </c>
      <c r="D53" s="9" t="s">
        <v>1337</v>
      </c>
      <c r="E53" s="9" t="s">
        <v>1347</v>
      </c>
      <c r="F53" s="12">
        <v>45399.570763888885</v>
      </c>
      <c r="G53" s="12">
        <v>45399.820763888885</v>
      </c>
      <c r="H53" s="5" t="s">
        <v>277</v>
      </c>
      <c r="I53" s="5" t="s">
        <v>1332</v>
      </c>
    </row>
    <row r="54" ht="18.0" customHeight="1">
      <c r="A54" s="5" t="s">
        <v>1417</v>
      </c>
      <c r="B54" s="5" t="s">
        <v>856</v>
      </c>
      <c r="C54" s="6">
        <v>5.0</v>
      </c>
      <c r="D54" s="9" t="s">
        <v>1330</v>
      </c>
      <c r="E54" s="9" t="s">
        <v>1344</v>
      </c>
      <c r="F54" s="12">
        <v>45543.97681712963</v>
      </c>
      <c r="G54" s="12">
        <v>45544.22681712963</v>
      </c>
      <c r="H54" s="5" t="s">
        <v>229</v>
      </c>
      <c r="I54" s="5" t="s">
        <v>1332</v>
      </c>
    </row>
    <row r="55" ht="18.0" customHeight="1">
      <c r="A55" s="5" t="s">
        <v>1419</v>
      </c>
      <c r="B55" s="5" t="s">
        <v>858</v>
      </c>
      <c r="C55" s="6">
        <v>3.0</v>
      </c>
      <c r="D55" s="9" t="s">
        <v>1337</v>
      </c>
      <c r="E55" s="9" t="s">
        <v>1347</v>
      </c>
      <c r="F55" s="12">
        <v>45525.75262731482</v>
      </c>
      <c r="G55" s="12">
        <v>45526.00262731482</v>
      </c>
      <c r="H55" s="5" t="s">
        <v>512</v>
      </c>
      <c r="I55" s="5" t="s">
        <v>1332</v>
      </c>
    </row>
    <row r="56" ht="18.0" customHeight="1">
      <c r="A56" s="5" t="s">
        <v>1420</v>
      </c>
      <c r="B56" s="5" t="s">
        <v>861</v>
      </c>
      <c r="C56" s="6">
        <v>4.0</v>
      </c>
      <c r="D56" s="9" t="s">
        <v>1330</v>
      </c>
      <c r="E56" s="9" t="s">
        <v>1338</v>
      </c>
      <c r="F56" s="12">
        <v>46107.32523148148</v>
      </c>
      <c r="G56" s="12">
        <v>46107.57523148148</v>
      </c>
      <c r="H56" s="5" t="s">
        <v>429</v>
      </c>
      <c r="I56" s="5" t="s">
        <v>1332</v>
      </c>
    </row>
    <row r="57" ht="18.0" customHeight="1">
      <c r="A57" s="5" t="s">
        <v>1421</v>
      </c>
      <c r="B57" s="5" t="s">
        <v>864</v>
      </c>
      <c r="C57" s="6">
        <v>3.0</v>
      </c>
      <c r="D57" s="9" t="s">
        <v>1337</v>
      </c>
      <c r="E57" s="9" t="s">
        <v>1347</v>
      </c>
      <c r="F57" s="12">
        <v>45837.806238425925</v>
      </c>
      <c r="G57" s="12">
        <v>45838.056238425925</v>
      </c>
      <c r="H57" s="5" t="s">
        <v>372</v>
      </c>
      <c r="I57" s="5" t="s">
        <v>1332</v>
      </c>
    </row>
    <row r="58" ht="18.0" customHeight="1">
      <c r="A58" s="5" t="s">
        <v>1423</v>
      </c>
      <c r="B58" s="5" t="s">
        <v>865</v>
      </c>
      <c r="C58" s="6">
        <v>1.0</v>
      </c>
      <c r="D58" s="9" t="s">
        <v>1356</v>
      </c>
      <c r="E58" s="9" t="s">
        <v>1357</v>
      </c>
      <c r="F58" s="12">
        <v>45981.21581018518</v>
      </c>
      <c r="G58" s="12">
        <v>45981.46581018518</v>
      </c>
      <c r="H58" s="5" t="s">
        <v>277</v>
      </c>
      <c r="I58" s="5" t="s">
        <v>1332</v>
      </c>
    </row>
    <row r="59" ht="18.0" customHeight="1">
      <c r="A59" s="5" t="s">
        <v>1424</v>
      </c>
      <c r="B59" s="5" t="s">
        <v>868</v>
      </c>
      <c r="C59" s="6">
        <v>3.0</v>
      </c>
      <c r="D59" s="9" t="s">
        <v>1337</v>
      </c>
      <c r="E59" s="9" t="s">
        <v>1331</v>
      </c>
      <c r="F59" s="12">
        <v>45989.33431712963</v>
      </c>
      <c r="G59" s="12">
        <v>45989.58431712963</v>
      </c>
      <c r="H59" s="5" t="s">
        <v>387</v>
      </c>
      <c r="I59" s="5" t="s">
        <v>1332</v>
      </c>
    </row>
    <row r="60" ht="18.0" customHeight="1">
      <c r="A60" s="5" t="s">
        <v>1426</v>
      </c>
      <c r="B60" s="5" t="s">
        <v>870</v>
      </c>
      <c r="C60" s="6">
        <v>3.0</v>
      </c>
      <c r="D60" s="9" t="s">
        <v>1337</v>
      </c>
      <c r="E60" s="9" t="s">
        <v>1338</v>
      </c>
      <c r="F60" s="12">
        <v>45603.58996527778</v>
      </c>
      <c r="G60" s="12">
        <v>45603.83996527778</v>
      </c>
      <c r="H60" s="5" t="s">
        <v>236</v>
      </c>
      <c r="I60" s="5" t="s">
        <v>1332</v>
      </c>
    </row>
    <row r="61" ht="18.0" customHeight="1">
      <c r="A61" s="5" t="s">
        <v>1427</v>
      </c>
      <c r="B61" s="5" t="s">
        <v>871</v>
      </c>
      <c r="C61" s="6">
        <v>4.0</v>
      </c>
      <c r="D61" s="9" t="s">
        <v>1330</v>
      </c>
      <c r="E61" s="9" t="s">
        <v>1347</v>
      </c>
      <c r="F61" s="12">
        <v>45823.560694444444</v>
      </c>
      <c r="G61" s="12">
        <v>45823.810694444444</v>
      </c>
      <c r="H61" s="5" t="s">
        <v>436</v>
      </c>
      <c r="I61" s="5" t="s">
        <v>1332</v>
      </c>
    </row>
    <row r="62" ht="18.0" customHeight="1">
      <c r="A62" s="5" t="s">
        <v>1429</v>
      </c>
      <c r="B62" s="5" t="s">
        <v>874</v>
      </c>
      <c r="C62" s="6">
        <v>5.0</v>
      </c>
      <c r="D62" s="9" t="s">
        <v>1330</v>
      </c>
      <c r="E62" s="9" t="s">
        <v>1347</v>
      </c>
      <c r="F62" s="12">
        <v>46161.14215277778</v>
      </c>
      <c r="G62" s="12">
        <v>46161.39215277778</v>
      </c>
      <c r="H62" s="5" t="s">
        <v>422</v>
      </c>
      <c r="I62" s="5" t="s">
        <v>1332</v>
      </c>
    </row>
    <row r="63" ht="18.0" customHeight="1">
      <c r="A63" s="5" t="s">
        <v>1431</v>
      </c>
      <c r="B63" s="5" t="s">
        <v>877</v>
      </c>
      <c r="C63" s="6">
        <v>4.0</v>
      </c>
      <c r="D63" s="9" t="s">
        <v>1330</v>
      </c>
      <c r="E63" s="9" t="s">
        <v>1331</v>
      </c>
      <c r="F63" s="12">
        <v>46152.44153935185</v>
      </c>
      <c r="G63" s="12">
        <v>46152.69153935185</v>
      </c>
      <c r="H63" s="5" t="s">
        <v>396</v>
      </c>
      <c r="I63" s="5" t="s">
        <v>1332</v>
      </c>
    </row>
    <row r="64" ht="18.0" customHeight="1">
      <c r="A64" s="5" t="s">
        <v>1433</v>
      </c>
      <c r="B64" s="5" t="s">
        <v>878</v>
      </c>
      <c r="C64" s="6">
        <v>3.0</v>
      </c>
      <c r="D64" s="9" t="s">
        <v>1337</v>
      </c>
      <c r="E64" s="9" t="s">
        <v>1331</v>
      </c>
      <c r="F64" s="12">
        <v>45577.57329861111</v>
      </c>
      <c r="G64" s="12">
        <v>45577.82329861111</v>
      </c>
      <c r="H64" s="5" t="s">
        <v>358</v>
      </c>
      <c r="I64" s="5" t="s">
        <v>1332</v>
      </c>
    </row>
    <row r="65" ht="18.0" customHeight="1">
      <c r="A65" s="5" t="s">
        <v>1434</v>
      </c>
      <c r="B65" s="5" t="s">
        <v>880</v>
      </c>
      <c r="C65" s="6">
        <v>5.0</v>
      </c>
      <c r="D65" s="9" t="s">
        <v>1330</v>
      </c>
      <c r="E65" s="9" t="s">
        <v>1347</v>
      </c>
      <c r="F65" s="12">
        <v>45392.89011574074</v>
      </c>
      <c r="G65" s="12">
        <v>45393.14011574074</v>
      </c>
      <c r="H65" s="5" t="s">
        <v>150</v>
      </c>
      <c r="I65" s="5" t="s">
        <v>1332</v>
      </c>
    </row>
    <row r="66" ht="18.0" customHeight="1">
      <c r="A66" s="5" t="s">
        <v>1436</v>
      </c>
      <c r="B66" s="5" t="s">
        <v>882</v>
      </c>
      <c r="C66" s="6">
        <v>4.0</v>
      </c>
      <c r="D66" s="9" t="s">
        <v>1330</v>
      </c>
      <c r="E66" s="9" t="s">
        <v>1331</v>
      </c>
      <c r="F66" s="12">
        <v>45616.08584490741</v>
      </c>
      <c r="G66" s="12">
        <v>45616.33584490741</v>
      </c>
      <c r="H66" s="5" t="s">
        <v>190</v>
      </c>
      <c r="I66" s="5" t="s">
        <v>1332</v>
      </c>
    </row>
    <row r="67" ht="18.0" customHeight="1">
      <c r="A67" s="5" t="s">
        <v>1438</v>
      </c>
      <c r="B67" s="5" t="s">
        <v>883</v>
      </c>
      <c r="C67" s="6">
        <v>5.0</v>
      </c>
      <c r="D67" s="9" t="s">
        <v>1330</v>
      </c>
      <c r="E67" s="9" t="s">
        <v>1331</v>
      </c>
      <c r="F67" s="12">
        <v>45515.18125</v>
      </c>
      <c r="G67" s="12">
        <v>45515.43125</v>
      </c>
      <c r="H67" s="5" t="s">
        <v>254</v>
      </c>
      <c r="I67" s="5" t="s">
        <v>1332</v>
      </c>
    </row>
    <row r="68" ht="18.0" customHeight="1">
      <c r="A68" s="5" t="s">
        <v>1439</v>
      </c>
      <c r="B68" s="5" t="s">
        <v>885</v>
      </c>
      <c r="C68" s="6">
        <v>4.0</v>
      </c>
      <c r="D68" s="9" t="s">
        <v>1330</v>
      </c>
      <c r="E68" s="9" t="s">
        <v>1335</v>
      </c>
      <c r="F68" s="12">
        <v>45549.853368055556</v>
      </c>
      <c r="G68" s="12">
        <v>45550.103368055556</v>
      </c>
      <c r="H68" s="5" t="s">
        <v>95</v>
      </c>
      <c r="I68" s="5" t="s">
        <v>1332</v>
      </c>
    </row>
    <row r="69" ht="18.0" customHeight="1">
      <c r="A69" s="5" t="s">
        <v>1441</v>
      </c>
      <c r="B69" s="5" t="s">
        <v>886</v>
      </c>
      <c r="C69" s="6">
        <v>4.0</v>
      </c>
      <c r="D69" s="9" t="s">
        <v>1330</v>
      </c>
      <c r="E69" s="9" t="s">
        <v>1331</v>
      </c>
      <c r="F69" s="12">
        <v>45442.311261574076</v>
      </c>
      <c r="G69" s="12">
        <v>45442.561261574076</v>
      </c>
      <c r="H69" s="5" t="s">
        <v>94</v>
      </c>
      <c r="I69" s="5" t="s">
        <v>1332</v>
      </c>
    </row>
    <row r="70" ht="18.0" customHeight="1">
      <c r="A70" s="5" t="s">
        <v>1443</v>
      </c>
      <c r="B70" s="5" t="s">
        <v>889</v>
      </c>
      <c r="C70" s="6">
        <v>2.0</v>
      </c>
      <c r="D70" s="9" t="s">
        <v>1356</v>
      </c>
      <c r="E70" s="9" t="s">
        <v>1357</v>
      </c>
      <c r="F70" s="12">
        <v>45661.36209490741</v>
      </c>
      <c r="G70" s="12">
        <v>45661.61209490741</v>
      </c>
      <c r="H70" s="5" t="s">
        <v>285</v>
      </c>
      <c r="I70" s="5" t="s">
        <v>1332</v>
      </c>
    </row>
    <row r="71" ht="18.0" customHeight="1">
      <c r="A71" s="5" t="s">
        <v>1444</v>
      </c>
      <c r="B71" s="5" t="s">
        <v>890</v>
      </c>
      <c r="C71" s="6">
        <v>2.0</v>
      </c>
      <c r="D71" s="9" t="s">
        <v>1356</v>
      </c>
      <c r="E71" s="9" t="s">
        <v>1384</v>
      </c>
      <c r="F71" s="12">
        <v>45851.4665625</v>
      </c>
      <c r="G71" s="12">
        <v>45851.7165625</v>
      </c>
      <c r="H71" s="5" t="s">
        <v>372</v>
      </c>
      <c r="I71" s="5" t="s">
        <v>1332</v>
      </c>
    </row>
    <row r="72" ht="18.0" customHeight="1">
      <c r="A72" s="5" t="s">
        <v>1446</v>
      </c>
      <c r="B72" s="5" t="s">
        <v>892</v>
      </c>
      <c r="C72" s="6">
        <v>2.0</v>
      </c>
      <c r="D72" s="9" t="s">
        <v>1356</v>
      </c>
      <c r="E72" s="9" t="s">
        <v>1448</v>
      </c>
      <c r="F72" s="12">
        <v>46020.60658564815</v>
      </c>
      <c r="G72" s="12">
        <v>46020.85658564815</v>
      </c>
      <c r="H72" s="5" t="s">
        <v>114</v>
      </c>
      <c r="I72" s="5" t="s">
        <v>1332</v>
      </c>
    </row>
    <row r="73" ht="18.0" customHeight="1">
      <c r="A73" s="5" t="s">
        <v>1449</v>
      </c>
      <c r="B73" s="5" t="s">
        <v>893</v>
      </c>
      <c r="C73" s="6">
        <v>2.0</v>
      </c>
      <c r="D73" s="9" t="s">
        <v>1356</v>
      </c>
      <c r="E73" s="9" t="s">
        <v>1357</v>
      </c>
      <c r="F73" s="12">
        <v>45625.024872685186</v>
      </c>
      <c r="G73" s="12">
        <v>45625.274872685186</v>
      </c>
      <c r="H73" s="5" t="s">
        <v>422</v>
      </c>
      <c r="I73" s="5" t="s">
        <v>1332</v>
      </c>
    </row>
    <row r="74" ht="18.0" customHeight="1">
      <c r="A74" s="5" t="s">
        <v>1451</v>
      </c>
      <c r="B74" s="5" t="s">
        <v>895</v>
      </c>
      <c r="C74" s="6">
        <v>3.0</v>
      </c>
      <c r="D74" s="9" t="s">
        <v>1337</v>
      </c>
      <c r="E74" s="9" t="s">
        <v>1331</v>
      </c>
      <c r="F74" s="12">
        <v>46097.703368055554</v>
      </c>
      <c r="G74" s="12">
        <v>46097.953368055554</v>
      </c>
      <c r="H74" s="5" t="s">
        <v>566</v>
      </c>
      <c r="I74" s="5" t="s">
        <v>1332</v>
      </c>
    </row>
    <row r="75" ht="18.0" customHeight="1">
      <c r="A75" s="5" t="s">
        <v>1452</v>
      </c>
      <c r="B75" s="5" t="s">
        <v>896</v>
      </c>
      <c r="C75" s="6">
        <v>2.0</v>
      </c>
      <c r="D75" s="9" t="s">
        <v>1356</v>
      </c>
      <c r="E75" s="9" t="s">
        <v>1357</v>
      </c>
      <c r="F75" s="12">
        <v>46029.57237268519</v>
      </c>
      <c r="G75" s="12">
        <v>46029.82237268519</v>
      </c>
      <c r="H75" s="5" t="s">
        <v>396</v>
      </c>
      <c r="I75" s="5" t="s">
        <v>1332</v>
      </c>
    </row>
    <row r="76" ht="18.0" customHeight="1">
      <c r="A76" s="5" t="s">
        <v>1454</v>
      </c>
      <c r="B76" s="5" t="s">
        <v>899</v>
      </c>
      <c r="C76" s="6">
        <v>3.0</v>
      </c>
      <c r="D76" s="9" t="s">
        <v>1337</v>
      </c>
      <c r="E76" s="9" t="s">
        <v>1335</v>
      </c>
      <c r="F76" s="12">
        <v>45585.44782407407</v>
      </c>
      <c r="G76" s="12">
        <v>45585.69782407407</v>
      </c>
      <c r="H76" s="5" t="s">
        <v>378</v>
      </c>
      <c r="I76" s="5" t="s">
        <v>1332</v>
      </c>
    </row>
    <row r="77" ht="18.0" customHeight="1">
      <c r="A77" s="5" t="s">
        <v>1456</v>
      </c>
      <c r="B77" s="5" t="s">
        <v>902</v>
      </c>
      <c r="C77" s="6">
        <v>5.0</v>
      </c>
      <c r="D77" s="9" t="s">
        <v>1330</v>
      </c>
      <c r="E77" s="9" t="s">
        <v>1344</v>
      </c>
      <c r="F77" s="12">
        <v>46007.86876157407</v>
      </c>
      <c r="G77" s="12">
        <v>46008.11876157407</v>
      </c>
      <c r="H77" s="5" t="s">
        <v>444</v>
      </c>
      <c r="I77" s="5" t="s">
        <v>1332</v>
      </c>
    </row>
    <row r="78" ht="18.0" customHeight="1">
      <c r="A78" s="5" t="s">
        <v>1457</v>
      </c>
      <c r="B78" s="5" t="s">
        <v>904</v>
      </c>
      <c r="C78" s="6">
        <v>4.0</v>
      </c>
      <c r="D78" s="9" t="s">
        <v>1330</v>
      </c>
      <c r="E78" s="9" t="s">
        <v>1335</v>
      </c>
      <c r="F78" s="12">
        <v>46172.05432870371</v>
      </c>
      <c r="G78" s="12">
        <v>46172.30432870371</v>
      </c>
      <c r="H78" s="5" t="s">
        <v>364</v>
      </c>
      <c r="I78" s="5" t="s">
        <v>1332</v>
      </c>
    </row>
    <row r="79" ht="18.0" customHeight="1">
      <c r="A79" s="5" t="s">
        <v>1459</v>
      </c>
      <c r="B79" s="5" t="s">
        <v>906</v>
      </c>
      <c r="C79" s="6">
        <v>4.0</v>
      </c>
      <c r="D79" s="9" t="s">
        <v>1330</v>
      </c>
      <c r="E79" s="9" t="s">
        <v>1347</v>
      </c>
      <c r="F79" s="12">
        <v>46007.39579861111</v>
      </c>
      <c r="G79" s="12">
        <v>46007.64579861111</v>
      </c>
      <c r="H79" s="5" t="s">
        <v>378</v>
      </c>
      <c r="I79" s="5" t="s">
        <v>1332</v>
      </c>
    </row>
    <row r="80" ht="18.0" customHeight="1">
      <c r="A80" s="5" t="s">
        <v>1461</v>
      </c>
      <c r="B80" s="5" t="s">
        <v>907</v>
      </c>
      <c r="C80" s="6">
        <v>3.0</v>
      </c>
      <c r="D80" s="9" t="s">
        <v>1337</v>
      </c>
      <c r="E80" s="9" t="s">
        <v>1347</v>
      </c>
      <c r="F80" s="12">
        <v>46222.91869212963</v>
      </c>
      <c r="G80" s="12">
        <v>46223.16869212963</v>
      </c>
      <c r="H80" s="5" t="s">
        <v>339</v>
      </c>
      <c r="I80" s="5" t="s">
        <v>1332</v>
      </c>
    </row>
    <row r="81" ht="18.0" customHeight="1">
      <c r="A81" s="5" t="s">
        <v>1462</v>
      </c>
      <c r="B81" s="5" t="s">
        <v>909</v>
      </c>
      <c r="C81" s="6">
        <v>3.0</v>
      </c>
      <c r="D81" s="9" t="s">
        <v>1337</v>
      </c>
      <c r="E81" s="9" t="s">
        <v>1331</v>
      </c>
      <c r="F81" s="12">
        <v>45510.652094907404</v>
      </c>
      <c r="G81" s="12">
        <v>45510.902094907404</v>
      </c>
      <c r="H81" s="5" t="s">
        <v>131</v>
      </c>
      <c r="I81" s="5" t="s">
        <v>1332</v>
      </c>
    </row>
    <row r="82" ht="18.0" customHeight="1">
      <c r="A82" s="5" t="s">
        <v>1463</v>
      </c>
      <c r="B82" s="5" t="s">
        <v>911</v>
      </c>
      <c r="C82" s="6">
        <v>4.0</v>
      </c>
      <c r="D82" s="9" t="s">
        <v>1330</v>
      </c>
      <c r="E82" s="9" t="s">
        <v>1347</v>
      </c>
      <c r="F82" s="12">
        <v>46035.91287037037</v>
      </c>
      <c r="G82" s="12">
        <v>46036.16287037037</v>
      </c>
      <c r="H82" s="5" t="s">
        <v>552</v>
      </c>
      <c r="I82" s="5" t="s">
        <v>1332</v>
      </c>
    </row>
    <row r="83" ht="18.0" customHeight="1">
      <c r="A83" s="5" t="s">
        <v>1464</v>
      </c>
      <c r="B83" s="5" t="s">
        <v>914</v>
      </c>
      <c r="C83" s="6">
        <v>4.0</v>
      </c>
      <c r="D83" s="9" t="s">
        <v>1330</v>
      </c>
      <c r="E83" s="9" t="s">
        <v>1335</v>
      </c>
      <c r="F83" s="12">
        <v>45908.37672453704</v>
      </c>
      <c r="G83" s="12">
        <v>45908.62672453704</v>
      </c>
      <c r="H83" s="5" t="s">
        <v>330</v>
      </c>
      <c r="I83" s="5" t="s">
        <v>1332</v>
      </c>
    </row>
    <row r="84" ht="18.0" customHeight="1">
      <c r="A84" s="5" t="s">
        <v>1465</v>
      </c>
      <c r="B84" s="5" t="s">
        <v>915</v>
      </c>
      <c r="C84" s="6">
        <v>5.0</v>
      </c>
      <c r="D84" s="9" t="s">
        <v>1330</v>
      </c>
      <c r="E84" s="9" t="s">
        <v>1338</v>
      </c>
      <c r="F84" s="12">
        <v>45466.306805555556</v>
      </c>
      <c r="G84" s="12">
        <v>45466.556805555556</v>
      </c>
      <c r="H84" s="5" t="s">
        <v>182</v>
      </c>
      <c r="I84" s="5" t="s">
        <v>1332</v>
      </c>
    </row>
    <row r="85" ht="18.0" customHeight="1">
      <c r="A85" s="5" t="s">
        <v>1466</v>
      </c>
      <c r="B85" s="5" t="s">
        <v>918</v>
      </c>
      <c r="C85" s="6">
        <v>2.0</v>
      </c>
      <c r="D85" s="9" t="s">
        <v>1356</v>
      </c>
      <c r="E85" s="9" t="s">
        <v>1467</v>
      </c>
      <c r="F85" s="12">
        <v>45968.74523148148</v>
      </c>
      <c r="G85" s="12">
        <v>45968.99523148148</v>
      </c>
      <c r="H85" s="5" t="s">
        <v>213</v>
      </c>
      <c r="I85" s="5" t="s">
        <v>1332</v>
      </c>
    </row>
    <row r="86" ht="18.0" customHeight="1">
      <c r="A86" s="5" t="s">
        <v>1468</v>
      </c>
      <c r="B86" s="5" t="s">
        <v>920</v>
      </c>
      <c r="C86" s="6">
        <v>4.0</v>
      </c>
      <c r="D86" s="9" t="s">
        <v>1330</v>
      </c>
      <c r="E86" s="9" t="s">
        <v>1347</v>
      </c>
      <c r="F86" s="12">
        <v>45680.3190625</v>
      </c>
      <c r="G86" s="12">
        <v>45680.5690625</v>
      </c>
      <c r="H86" s="5" t="s">
        <v>358</v>
      </c>
      <c r="I86" s="5" t="s">
        <v>1332</v>
      </c>
    </row>
    <row r="87" ht="18.0" customHeight="1">
      <c r="A87" s="5" t="s">
        <v>1469</v>
      </c>
      <c r="B87" s="5" t="s">
        <v>922</v>
      </c>
      <c r="C87" s="6">
        <v>5.0</v>
      </c>
      <c r="D87" s="9" t="s">
        <v>1330</v>
      </c>
      <c r="E87" s="9" t="s">
        <v>1347</v>
      </c>
      <c r="F87" s="12">
        <v>46113.99078703704</v>
      </c>
      <c r="G87" s="12">
        <v>46114.24078703704</v>
      </c>
      <c r="H87" s="5" t="s">
        <v>358</v>
      </c>
      <c r="I87" s="5" t="s">
        <v>1332</v>
      </c>
    </row>
    <row r="88" ht="18.0" customHeight="1">
      <c r="A88" s="5" t="s">
        <v>1470</v>
      </c>
      <c r="B88" s="5" t="s">
        <v>923</v>
      </c>
      <c r="C88" s="6">
        <v>3.0</v>
      </c>
      <c r="D88" s="9" t="s">
        <v>1337</v>
      </c>
      <c r="E88" s="9" t="s">
        <v>1344</v>
      </c>
      <c r="F88" s="12">
        <v>45355.565104166664</v>
      </c>
      <c r="G88" s="12">
        <v>45355.815104166664</v>
      </c>
      <c r="H88" s="5" t="s">
        <v>190</v>
      </c>
      <c r="I88" s="5" t="s">
        <v>1332</v>
      </c>
    </row>
    <row r="89" ht="18.0" customHeight="1">
      <c r="A89" s="5" t="s">
        <v>1471</v>
      </c>
      <c r="B89" s="5" t="s">
        <v>925</v>
      </c>
      <c r="C89" s="6">
        <v>5.0</v>
      </c>
      <c r="D89" s="9" t="s">
        <v>1330</v>
      </c>
      <c r="E89" s="9" t="s">
        <v>1344</v>
      </c>
      <c r="F89" s="12">
        <v>46134.1718287037</v>
      </c>
      <c r="G89" s="12">
        <v>46134.4218287037</v>
      </c>
      <c r="H89" s="5" t="s">
        <v>121</v>
      </c>
      <c r="I89" s="5" t="s">
        <v>1332</v>
      </c>
    </row>
    <row r="90" ht="18.0" customHeight="1">
      <c r="A90" s="5" t="s">
        <v>1472</v>
      </c>
      <c r="B90" s="5" t="s">
        <v>927</v>
      </c>
      <c r="C90" s="6">
        <v>3.0</v>
      </c>
      <c r="D90" s="9" t="s">
        <v>1337</v>
      </c>
      <c r="E90" s="9" t="s">
        <v>1347</v>
      </c>
      <c r="F90" s="12">
        <v>45649.72803240741</v>
      </c>
      <c r="G90" s="12">
        <v>45649.97803240741</v>
      </c>
      <c r="H90" s="5" t="s">
        <v>485</v>
      </c>
      <c r="I90" s="5" t="s">
        <v>1332</v>
      </c>
    </row>
    <row r="91" ht="18.0" customHeight="1">
      <c r="A91" s="5" t="s">
        <v>1473</v>
      </c>
      <c r="B91" s="5" t="s">
        <v>928</v>
      </c>
      <c r="C91" s="6">
        <v>3.0</v>
      </c>
      <c r="D91" s="9" t="s">
        <v>1337</v>
      </c>
      <c r="E91" s="9" t="s">
        <v>1331</v>
      </c>
      <c r="F91" s="12">
        <v>45710.58521990741</v>
      </c>
      <c r="G91" s="12">
        <v>45710.83521990741</v>
      </c>
      <c r="H91" s="5" t="s">
        <v>429</v>
      </c>
      <c r="I91" s="5" t="s">
        <v>1332</v>
      </c>
    </row>
    <row r="92" ht="18.0" customHeight="1">
      <c r="A92" s="5" t="s">
        <v>1474</v>
      </c>
      <c r="B92" s="5" t="s">
        <v>930</v>
      </c>
      <c r="C92" s="6">
        <v>4.0</v>
      </c>
      <c r="D92" s="9" t="s">
        <v>1330</v>
      </c>
      <c r="E92" s="9" t="s">
        <v>1331</v>
      </c>
      <c r="F92" s="12">
        <v>45549.5046875</v>
      </c>
      <c r="G92" s="12">
        <v>45549.7546875</v>
      </c>
      <c r="H92" s="5" t="s">
        <v>459</v>
      </c>
      <c r="I92" s="5" t="s">
        <v>1332</v>
      </c>
    </row>
    <row r="93" ht="18.0" customHeight="1">
      <c r="A93" s="5" t="s">
        <v>1475</v>
      </c>
      <c r="B93" s="5" t="s">
        <v>933</v>
      </c>
      <c r="C93" s="6">
        <v>5.0</v>
      </c>
      <c r="D93" s="9" t="s">
        <v>1330</v>
      </c>
      <c r="E93" s="9" t="s">
        <v>1335</v>
      </c>
      <c r="F93" s="12">
        <v>45931.53114583333</v>
      </c>
      <c r="G93" s="12">
        <v>45931.78114583333</v>
      </c>
      <c r="H93" s="5" t="s">
        <v>436</v>
      </c>
      <c r="I93" s="5" t="s">
        <v>1332</v>
      </c>
    </row>
    <row r="94" ht="18.0" customHeight="1">
      <c r="A94" s="5" t="s">
        <v>1476</v>
      </c>
      <c r="B94" s="5" t="s">
        <v>935</v>
      </c>
      <c r="C94" s="6">
        <v>5.0</v>
      </c>
      <c r="D94" s="9" t="s">
        <v>1330</v>
      </c>
      <c r="E94" s="9" t="s">
        <v>1344</v>
      </c>
      <c r="F94" s="12">
        <v>46172.3908912037</v>
      </c>
      <c r="G94" s="12">
        <v>46172.6408912037</v>
      </c>
      <c r="H94" s="5" t="s">
        <v>358</v>
      </c>
      <c r="I94" s="5" t="s">
        <v>1332</v>
      </c>
    </row>
    <row r="95" ht="18.0" customHeight="1">
      <c r="A95" s="5" t="s">
        <v>1477</v>
      </c>
      <c r="B95" s="5" t="s">
        <v>938</v>
      </c>
      <c r="C95" s="6">
        <v>3.0</v>
      </c>
      <c r="D95" s="9" t="s">
        <v>1337</v>
      </c>
      <c r="E95" s="9" t="s">
        <v>1331</v>
      </c>
      <c r="F95" s="12">
        <v>45349.295810185184</v>
      </c>
      <c r="G95" s="12">
        <v>45349.545810185184</v>
      </c>
      <c r="H95" s="5" t="s">
        <v>201</v>
      </c>
      <c r="I95" s="5" t="s">
        <v>1332</v>
      </c>
    </row>
    <row r="96" ht="18.0" customHeight="1">
      <c r="A96" s="5" t="s">
        <v>1478</v>
      </c>
      <c r="B96" s="5" t="s">
        <v>940</v>
      </c>
      <c r="C96" s="6">
        <v>4.0</v>
      </c>
      <c r="D96" s="9" t="s">
        <v>1330</v>
      </c>
      <c r="E96" s="9" t="s">
        <v>1338</v>
      </c>
      <c r="F96" s="12">
        <v>45925.057291666664</v>
      </c>
      <c r="G96" s="12">
        <v>45925.307291666664</v>
      </c>
      <c r="H96" s="5" t="s">
        <v>422</v>
      </c>
      <c r="I96" s="5" t="s">
        <v>1332</v>
      </c>
    </row>
    <row r="97" ht="18.0" customHeight="1">
      <c r="A97" s="5" t="s">
        <v>1479</v>
      </c>
      <c r="B97" s="5" t="s">
        <v>943</v>
      </c>
      <c r="C97" s="6">
        <v>5.0</v>
      </c>
      <c r="D97" s="9" t="s">
        <v>1330</v>
      </c>
      <c r="E97" s="9" t="s">
        <v>1331</v>
      </c>
      <c r="F97" s="12">
        <v>46157.683969907404</v>
      </c>
      <c r="G97" s="12">
        <v>46157.933969907404</v>
      </c>
      <c r="H97" s="5" t="s">
        <v>358</v>
      </c>
      <c r="I97" s="5" t="s">
        <v>1332</v>
      </c>
    </row>
    <row r="98" ht="18.0" customHeight="1">
      <c r="A98" s="5" t="s">
        <v>1480</v>
      </c>
      <c r="B98" s="5" t="s">
        <v>944</v>
      </c>
      <c r="C98" s="6">
        <v>4.0</v>
      </c>
      <c r="D98" s="9" t="s">
        <v>1330</v>
      </c>
      <c r="E98" s="9" t="s">
        <v>1335</v>
      </c>
      <c r="F98" s="12">
        <v>45815.82770833333</v>
      </c>
      <c r="G98" s="12">
        <v>45816.07770833333</v>
      </c>
      <c r="H98" s="5" t="s">
        <v>315</v>
      </c>
      <c r="I98" s="5" t="s">
        <v>1332</v>
      </c>
    </row>
    <row r="99" ht="18.0" customHeight="1">
      <c r="A99" s="5" t="s">
        <v>1481</v>
      </c>
      <c r="B99" s="5" t="s">
        <v>947</v>
      </c>
      <c r="C99" s="6">
        <v>5.0</v>
      </c>
      <c r="D99" s="9" t="s">
        <v>1330</v>
      </c>
      <c r="E99" s="9" t="s">
        <v>1335</v>
      </c>
      <c r="F99" s="12">
        <v>45506.06524305556</v>
      </c>
      <c r="G99" s="12">
        <v>45506.31524305556</v>
      </c>
      <c r="H99" s="5" t="s">
        <v>387</v>
      </c>
      <c r="I99" s="5" t="s">
        <v>1332</v>
      </c>
    </row>
    <row r="100" ht="18.0" customHeight="1">
      <c r="A100" s="5" t="s">
        <v>1482</v>
      </c>
      <c r="B100" s="5" t="s">
        <v>950</v>
      </c>
      <c r="C100" s="6">
        <v>3.0</v>
      </c>
      <c r="D100" s="9" t="s">
        <v>1337</v>
      </c>
      <c r="E100" s="9" t="s">
        <v>1335</v>
      </c>
      <c r="F100" s="12">
        <v>45590.69446759259</v>
      </c>
      <c r="G100" s="12">
        <v>45590.94446759259</v>
      </c>
      <c r="H100" s="5" t="s">
        <v>520</v>
      </c>
      <c r="I100" s="5" t="s">
        <v>1332</v>
      </c>
    </row>
    <row r="101" ht="18.0" customHeight="1">
      <c r="A101" s="5" t="s">
        <v>1483</v>
      </c>
      <c r="B101" s="5" t="s">
        <v>952</v>
      </c>
      <c r="C101" s="6">
        <v>5.0</v>
      </c>
      <c r="D101" s="9" t="s">
        <v>1330</v>
      </c>
      <c r="E101" s="9" t="s">
        <v>1331</v>
      </c>
      <c r="F101" s="12">
        <v>45338.591782407406</v>
      </c>
      <c r="G101" s="12">
        <v>45338.841782407406</v>
      </c>
      <c r="H101" s="5" t="s">
        <v>68</v>
      </c>
      <c r="I101" s="5" t="s">
        <v>1332</v>
      </c>
    </row>
    <row r="102" ht="18.0" customHeight="1">
      <c r="A102" s="5" t="s">
        <v>1484</v>
      </c>
      <c r="B102" s="5" t="s">
        <v>954</v>
      </c>
      <c r="C102" s="6">
        <v>5.0</v>
      </c>
      <c r="D102" s="9" t="s">
        <v>1330</v>
      </c>
      <c r="E102" s="9" t="s">
        <v>1335</v>
      </c>
      <c r="F102" s="12">
        <v>45863.24550925926</v>
      </c>
      <c r="G102" s="12">
        <v>45863.49550925926</v>
      </c>
      <c r="H102" s="5" t="s">
        <v>267</v>
      </c>
      <c r="I102" s="5" t="s">
        <v>1332</v>
      </c>
    </row>
    <row r="103" ht="18.0" customHeight="1">
      <c r="A103" s="5" t="s">
        <v>1485</v>
      </c>
      <c r="B103" s="5" t="s">
        <v>957</v>
      </c>
      <c r="C103" s="6">
        <v>3.0</v>
      </c>
      <c r="D103" s="9" t="s">
        <v>1337</v>
      </c>
      <c r="E103" s="9" t="s">
        <v>1335</v>
      </c>
      <c r="F103" s="12">
        <v>46158.107627314814</v>
      </c>
      <c r="G103" s="12">
        <v>46158.357627314814</v>
      </c>
      <c r="H103" s="5" t="s">
        <v>83</v>
      </c>
      <c r="I103" s="5" t="s">
        <v>1332</v>
      </c>
    </row>
    <row r="104" ht="18.0" customHeight="1">
      <c r="A104" s="5" t="s">
        <v>1486</v>
      </c>
      <c r="B104" s="5" t="s">
        <v>958</v>
      </c>
      <c r="C104" s="6">
        <v>4.0</v>
      </c>
      <c r="D104" s="9" t="s">
        <v>1330</v>
      </c>
      <c r="E104" s="9" t="s">
        <v>1331</v>
      </c>
      <c r="F104" s="12">
        <v>46140.819548611114</v>
      </c>
      <c r="G104" s="12">
        <v>46141.069548611114</v>
      </c>
      <c r="H104" s="5" t="s">
        <v>358</v>
      </c>
      <c r="I104" s="5" t="s">
        <v>1332</v>
      </c>
    </row>
    <row r="105" ht="18.0" customHeight="1">
      <c r="A105" s="5" t="s">
        <v>1487</v>
      </c>
      <c r="B105" s="5" t="s">
        <v>960</v>
      </c>
      <c r="C105" s="6">
        <v>5.0</v>
      </c>
      <c r="D105" s="9" t="s">
        <v>1330</v>
      </c>
      <c r="E105" s="9" t="s">
        <v>1338</v>
      </c>
      <c r="F105" s="12">
        <v>45982.18210648148</v>
      </c>
      <c r="G105" s="12">
        <v>45982.43210648148</v>
      </c>
      <c r="H105" s="5" t="s">
        <v>452</v>
      </c>
      <c r="I105" s="5" t="s">
        <v>1332</v>
      </c>
    </row>
    <row r="106" ht="18.0" customHeight="1">
      <c r="A106" s="5" t="s">
        <v>1488</v>
      </c>
      <c r="B106" s="5" t="s">
        <v>961</v>
      </c>
      <c r="C106" s="6">
        <v>3.0</v>
      </c>
      <c r="D106" s="9" t="s">
        <v>1337</v>
      </c>
      <c r="E106" s="9" t="s">
        <v>1331</v>
      </c>
      <c r="F106" s="12">
        <v>45545.410520833335</v>
      </c>
      <c r="G106" s="12">
        <v>45545.660520833335</v>
      </c>
      <c r="H106" s="5" t="s">
        <v>566</v>
      </c>
      <c r="I106" s="5" t="s">
        <v>1332</v>
      </c>
    </row>
    <row r="107" ht="18.0" customHeight="1">
      <c r="A107" s="5" t="s">
        <v>1489</v>
      </c>
      <c r="B107" s="5" t="s">
        <v>963</v>
      </c>
      <c r="C107" s="6">
        <v>4.0</v>
      </c>
      <c r="D107" s="9" t="s">
        <v>1330</v>
      </c>
      <c r="E107" s="9" t="s">
        <v>1331</v>
      </c>
      <c r="F107" s="12">
        <v>45438.93828703704</v>
      </c>
      <c r="G107" s="12">
        <v>45439.18828703704</v>
      </c>
      <c r="H107" s="5" t="s">
        <v>452</v>
      </c>
      <c r="I107" s="5" t="s">
        <v>1332</v>
      </c>
    </row>
    <row r="108" ht="18.0" customHeight="1">
      <c r="A108" s="5" t="s">
        <v>1490</v>
      </c>
      <c r="B108" s="5" t="s">
        <v>966</v>
      </c>
      <c r="C108" s="6">
        <v>3.0</v>
      </c>
      <c r="D108" s="9" t="s">
        <v>1337</v>
      </c>
      <c r="E108" s="9" t="s">
        <v>1335</v>
      </c>
      <c r="F108" s="12">
        <v>45458.08645833333</v>
      </c>
      <c r="G108" s="12">
        <v>45458.33645833333</v>
      </c>
      <c r="H108" s="5" t="s">
        <v>467</v>
      </c>
      <c r="I108" s="5" t="s">
        <v>1332</v>
      </c>
    </row>
    <row r="109" ht="18.0" customHeight="1">
      <c r="A109" s="5" t="s">
        <v>1491</v>
      </c>
      <c r="B109" s="5" t="s">
        <v>972</v>
      </c>
      <c r="C109" s="6">
        <v>5.0</v>
      </c>
      <c r="D109" s="9" t="s">
        <v>1330</v>
      </c>
      <c r="E109" s="9" t="s">
        <v>1347</v>
      </c>
      <c r="F109" s="12">
        <v>46185.26336805556</v>
      </c>
      <c r="G109" s="12">
        <v>46185.51336805556</v>
      </c>
      <c r="H109" s="5" t="s">
        <v>213</v>
      </c>
      <c r="I109" s="5" t="s">
        <v>1332</v>
      </c>
    </row>
    <row r="110" ht="18.0" customHeight="1">
      <c r="A110" s="5" t="s">
        <v>1492</v>
      </c>
      <c r="B110" s="5" t="s">
        <v>975</v>
      </c>
      <c r="C110" s="6">
        <v>4.0</v>
      </c>
      <c r="D110" s="9" t="s">
        <v>1330</v>
      </c>
      <c r="E110" s="9" t="s">
        <v>1347</v>
      </c>
      <c r="F110" s="12">
        <v>45773.830613425926</v>
      </c>
      <c r="G110" s="12">
        <v>45774.080613425926</v>
      </c>
      <c r="H110" s="5" t="s">
        <v>459</v>
      </c>
      <c r="I110" s="5" t="s">
        <v>1332</v>
      </c>
    </row>
    <row r="111" ht="18.0" customHeight="1">
      <c r="A111" s="5" t="s">
        <v>1493</v>
      </c>
      <c r="B111" s="5" t="s">
        <v>980</v>
      </c>
      <c r="C111" s="6">
        <v>2.0</v>
      </c>
      <c r="D111" s="9" t="s">
        <v>1356</v>
      </c>
      <c r="E111" s="9" t="s">
        <v>1448</v>
      </c>
      <c r="F111" s="12">
        <v>45996.33629629629</v>
      </c>
      <c r="G111" s="12">
        <v>45996.58629629629</v>
      </c>
      <c r="H111" s="5" t="s">
        <v>305</v>
      </c>
      <c r="I111" s="5" t="s">
        <v>1332</v>
      </c>
    </row>
    <row r="112" ht="18.0" customHeight="1">
      <c r="A112" s="5" t="s">
        <v>1494</v>
      </c>
      <c r="B112" s="5" t="s">
        <v>982</v>
      </c>
      <c r="C112" s="6">
        <v>5.0</v>
      </c>
      <c r="D112" s="9" t="s">
        <v>1330</v>
      </c>
      <c r="E112" s="9" t="s">
        <v>1347</v>
      </c>
      <c r="F112" s="12">
        <v>45430.230625</v>
      </c>
      <c r="G112" s="12">
        <v>45430.480625</v>
      </c>
      <c r="H112" s="5" t="s">
        <v>520</v>
      </c>
      <c r="I112" s="5" t="s">
        <v>1332</v>
      </c>
    </row>
    <row r="113" ht="18.0" customHeight="1">
      <c r="A113" s="5" t="s">
        <v>1495</v>
      </c>
      <c r="B113" s="5" t="s">
        <v>983</v>
      </c>
      <c r="C113" s="6">
        <v>4.0</v>
      </c>
      <c r="D113" s="9" t="s">
        <v>1330</v>
      </c>
      <c r="E113" s="9" t="s">
        <v>1347</v>
      </c>
      <c r="F113" s="12">
        <v>45533.68850694445</v>
      </c>
      <c r="G113" s="12">
        <v>45533.93850694445</v>
      </c>
      <c r="H113" s="5" t="s">
        <v>83</v>
      </c>
      <c r="I113" s="5" t="s">
        <v>1332</v>
      </c>
    </row>
    <row r="114" ht="18.0" customHeight="1">
      <c r="A114" s="5" t="s">
        <v>1496</v>
      </c>
      <c r="B114" s="5" t="s">
        <v>987</v>
      </c>
      <c r="C114" s="6">
        <v>3.0</v>
      </c>
      <c r="D114" s="9" t="s">
        <v>1337</v>
      </c>
      <c r="E114" s="9" t="s">
        <v>1331</v>
      </c>
      <c r="F114" s="12">
        <v>45468.7090625</v>
      </c>
      <c r="G114" s="12">
        <v>45468.9590625</v>
      </c>
      <c r="H114" s="5" t="s">
        <v>364</v>
      </c>
      <c r="I114" s="5" t="s">
        <v>1332</v>
      </c>
    </row>
    <row r="115" ht="18.0" customHeight="1">
      <c r="A115" s="5" t="s">
        <v>1497</v>
      </c>
      <c r="B115" s="5" t="s">
        <v>988</v>
      </c>
      <c r="C115" s="6">
        <v>3.0</v>
      </c>
      <c r="D115" s="9" t="s">
        <v>1337</v>
      </c>
      <c r="E115" s="9" t="s">
        <v>1344</v>
      </c>
      <c r="F115" s="12">
        <v>45739.216898148145</v>
      </c>
      <c r="G115" s="12">
        <v>45739.466898148145</v>
      </c>
      <c r="H115" s="5" t="s">
        <v>315</v>
      </c>
      <c r="I115" s="5" t="s">
        <v>1332</v>
      </c>
    </row>
    <row r="116" ht="18.0" customHeight="1">
      <c r="A116" s="5" t="s">
        <v>1498</v>
      </c>
      <c r="B116" s="5" t="s">
        <v>990</v>
      </c>
      <c r="C116" s="6">
        <v>3.0</v>
      </c>
      <c r="D116" s="9" t="s">
        <v>1337</v>
      </c>
      <c r="E116" s="9" t="s">
        <v>1347</v>
      </c>
      <c r="F116" s="12">
        <v>45436.47020833333</v>
      </c>
      <c r="G116" s="12">
        <v>45436.72020833333</v>
      </c>
      <c r="H116" s="5" t="s">
        <v>339</v>
      </c>
      <c r="I116" s="5" t="s">
        <v>1332</v>
      </c>
    </row>
    <row r="117" ht="18.0" customHeight="1">
      <c r="A117" s="5" t="s">
        <v>1499</v>
      </c>
      <c r="B117" s="5" t="s">
        <v>991</v>
      </c>
      <c r="C117" s="6">
        <v>3.0</v>
      </c>
      <c r="D117" s="9" t="s">
        <v>1337</v>
      </c>
      <c r="E117" s="9" t="s">
        <v>1344</v>
      </c>
      <c r="F117" s="12">
        <v>46005.58560185185</v>
      </c>
      <c r="G117" s="12">
        <v>46005.83560185185</v>
      </c>
      <c r="H117" s="5" t="s">
        <v>141</v>
      </c>
      <c r="I117" s="5" t="s">
        <v>1332</v>
      </c>
    </row>
    <row r="118" ht="18.0" customHeight="1">
      <c r="A118" s="5" t="s">
        <v>1500</v>
      </c>
      <c r="B118" s="5" t="s">
        <v>993</v>
      </c>
      <c r="C118" s="6">
        <v>2.0</v>
      </c>
      <c r="D118" s="9" t="s">
        <v>1356</v>
      </c>
      <c r="E118" s="9" t="s">
        <v>1357</v>
      </c>
      <c r="F118" s="12">
        <v>45681.27334490741</v>
      </c>
      <c r="G118" s="12">
        <v>45681.52334490741</v>
      </c>
      <c r="H118" s="5" t="s">
        <v>469</v>
      </c>
      <c r="I118" s="5" t="s">
        <v>1332</v>
      </c>
    </row>
    <row r="119" ht="18.0" customHeight="1">
      <c r="A119" s="5" t="s">
        <v>1501</v>
      </c>
      <c r="B119" s="5" t="s">
        <v>995</v>
      </c>
      <c r="C119" s="6">
        <v>1.0</v>
      </c>
      <c r="D119" s="9" t="s">
        <v>1356</v>
      </c>
      <c r="E119" s="9" t="s">
        <v>1384</v>
      </c>
      <c r="F119" s="12">
        <v>45601.10061342592</v>
      </c>
      <c r="G119" s="12">
        <v>45601.35061342592</v>
      </c>
      <c r="H119" s="5" t="s">
        <v>349</v>
      </c>
      <c r="I119" s="5" t="s">
        <v>1332</v>
      </c>
    </row>
    <row r="120" ht="18.0" customHeight="1">
      <c r="A120" s="5" t="s">
        <v>1502</v>
      </c>
      <c r="B120" s="5" t="s">
        <v>996</v>
      </c>
      <c r="C120" s="6">
        <v>2.0</v>
      </c>
      <c r="D120" s="9" t="s">
        <v>1356</v>
      </c>
      <c r="E120" s="9" t="s">
        <v>1357</v>
      </c>
      <c r="F120" s="12">
        <v>45792.38018518518</v>
      </c>
      <c r="G120" s="12">
        <v>45792.63018518518</v>
      </c>
      <c r="H120" s="5" t="s">
        <v>529</v>
      </c>
      <c r="I120" s="5" t="s">
        <v>1332</v>
      </c>
    </row>
    <row r="121" ht="18.0" customHeight="1">
      <c r="A121" s="5" t="s">
        <v>1503</v>
      </c>
      <c r="B121" s="5" t="s">
        <v>998</v>
      </c>
      <c r="C121" s="6">
        <v>4.0</v>
      </c>
      <c r="D121" s="9" t="s">
        <v>1330</v>
      </c>
      <c r="E121" s="9" t="s">
        <v>1344</v>
      </c>
      <c r="F121" s="12">
        <v>45729.954305555555</v>
      </c>
      <c r="G121" s="12">
        <v>45730.204305555555</v>
      </c>
      <c r="H121" s="5" t="s">
        <v>358</v>
      </c>
      <c r="I121" s="5" t="s">
        <v>1332</v>
      </c>
    </row>
    <row r="122" ht="18.0" customHeight="1">
      <c r="A122" s="5" t="s">
        <v>1504</v>
      </c>
      <c r="B122" s="5" t="s">
        <v>1000</v>
      </c>
      <c r="C122" s="6">
        <v>4.0</v>
      </c>
      <c r="D122" s="9" t="s">
        <v>1330</v>
      </c>
      <c r="E122" s="9" t="s">
        <v>1338</v>
      </c>
      <c r="F122" s="12">
        <v>45905.37721064815</v>
      </c>
      <c r="G122" s="12">
        <v>45905.62721064815</v>
      </c>
      <c r="H122" s="5" t="s">
        <v>131</v>
      </c>
      <c r="I122" s="5" t="s">
        <v>1332</v>
      </c>
    </row>
    <row r="123" ht="18.0" customHeight="1">
      <c r="A123" s="5" t="s">
        <v>1505</v>
      </c>
      <c r="B123" s="5" t="s">
        <v>1001</v>
      </c>
      <c r="C123" s="6">
        <v>4.0</v>
      </c>
      <c r="D123" s="9" t="s">
        <v>1330</v>
      </c>
      <c r="E123" s="9" t="s">
        <v>1335</v>
      </c>
      <c r="F123" s="12">
        <v>45790.12074074074</v>
      </c>
      <c r="G123" s="12">
        <v>45790.37074074074</v>
      </c>
      <c r="H123" s="5" t="s">
        <v>213</v>
      </c>
      <c r="I123" s="5" t="s">
        <v>1332</v>
      </c>
    </row>
    <row r="124" ht="18.0" customHeight="1">
      <c r="A124" s="5" t="s">
        <v>1506</v>
      </c>
      <c r="B124" s="5" t="s">
        <v>1003</v>
      </c>
      <c r="C124" s="6">
        <v>1.0</v>
      </c>
      <c r="D124" s="9" t="s">
        <v>1356</v>
      </c>
      <c r="E124" s="9" t="s">
        <v>1384</v>
      </c>
      <c r="F124" s="12">
        <v>46057.547164351854</v>
      </c>
      <c r="G124" s="12">
        <v>46057.797164351854</v>
      </c>
      <c r="H124" s="5" t="s">
        <v>349</v>
      </c>
      <c r="I124" s="5" t="s">
        <v>1332</v>
      </c>
    </row>
    <row r="125" ht="18.0" customHeight="1">
      <c r="A125" s="5" t="s">
        <v>1507</v>
      </c>
      <c r="B125" s="5" t="s">
        <v>1004</v>
      </c>
      <c r="C125" s="6">
        <v>4.0</v>
      </c>
      <c r="D125" s="9" t="s">
        <v>1330</v>
      </c>
      <c r="E125" s="9" t="s">
        <v>1335</v>
      </c>
      <c r="F125" s="12">
        <v>46225.67986111111</v>
      </c>
      <c r="G125" s="12">
        <v>46225.92986111111</v>
      </c>
      <c r="H125" s="5" t="s">
        <v>246</v>
      </c>
      <c r="I125" s="5" t="s">
        <v>1332</v>
      </c>
    </row>
    <row r="126" ht="18.0" customHeight="1">
      <c r="A126" s="5" t="s">
        <v>1508</v>
      </c>
      <c r="B126" s="5" t="s">
        <v>1006</v>
      </c>
      <c r="C126" s="6">
        <v>1.0</v>
      </c>
      <c r="D126" s="9" t="s">
        <v>1356</v>
      </c>
      <c r="E126" s="9" t="s">
        <v>1384</v>
      </c>
      <c r="F126" s="12">
        <v>46174.35832175926</v>
      </c>
      <c r="G126" s="12">
        <v>46174.60832175926</v>
      </c>
      <c r="H126" s="5" t="s">
        <v>68</v>
      </c>
      <c r="I126" s="5" t="s">
        <v>1332</v>
      </c>
    </row>
    <row r="127" ht="18.0" customHeight="1">
      <c r="A127" s="5" t="s">
        <v>1509</v>
      </c>
      <c r="B127" s="5" t="s">
        <v>1009</v>
      </c>
      <c r="C127" s="6">
        <v>3.0</v>
      </c>
      <c r="D127" s="9" t="s">
        <v>1337</v>
      </c>
      <c r="E127" s="9" t="s">
        <v>1347</v>
      </c>
      <c r="F127" s="12">
        <v>45592.24707175926</v>
      </c>
      <c r="G127" s="12">
        <v>45592.49707175926</v>
      </c>
      <c r="H127" s="5" t="s">
        <v>387</v>
      </c>
      <c r="I127" s="5" t="s">
        <v>1332</v>
      </c>
    </row>
    <row r="128" ht="18.0" customHeight="1">
      <c r="A128" s="5" t="s">
        <v>1510</v>
      </c>
      <c r="B128" s="5" t="s">
        <v>1012</v>
      </c>
      <c r="C128" s="6">
        <v>3.0</v>
      </c>
      <c r="D128" s="9" t="s">
        <v>1337</v>
      </c>
      <c r="E128" s="9" t="s">
        <v>1331</v>
      </c>
      <c r="F128" s="12">
        <v>45579.68072916667</v>
      </c>
      <c r="G128" s="12">
        <v>45579.93072916667</v>
      </c>
      <c r="H128" s="5" t="s">
        <v>485</v>
      </c>
      <c r="I128" s="5" t="s">
        <v>1332</v>
      </c>
    </row>
    <row r="129" ht="18.0" customHeight="1">
      <c r="A129" s="5" t="s">
        <v>1511</v>
      </c>
      <c r="B129" s="5" t="s">
        <v>1014</v>
      </c>
      <c r="C129" s="6">
        <v>5.0</v>
      </c>
      <c r="D129" s="9" t="s">
        <v>1330</v>
      </c>
      <c r="E129" s="9" t="s">
        <v>1338</v>
      </c>
      <c r="F129" s="12">
        <v>45357.00247685185</v>
      </c>
      <c r="G129" s="12">
        <v>45357.25247685185</v>
      </c>
      <c r="H129" s="5" t="s">
        <v>436</v>
      </c>
      <c r="I129" s="5" t="s">
        <v>1332</v>
      </c>
    </row>
    <row r="130" ht="18.0" customHeight="1">
      <c r="A130" s="5" t="s">
        <v>1512</v>
      </c>
      <c r="B130" s="5" t="s">
        <v>1015</v>
      </c>
      <c r="C130" s="6">
        <v>4.0</v>
      </c>
      <c r="D130" s="9" t="s">
        <v>1330</v>
      </c>
      <c r="E130" s="9" t="s">
        <v>1335</v>
      </c>
      <c r="F130" s="12">
        <v>46123.154270833336</v>
      </c>
      <c r="G130" s="12">
        <v>46123.404270833336</v>
      </c>
      <c r="H130" s="5" t="s">
        <v>305</v>
      </c>
      <c r="I130" s="5" t="s">
        <v>1332</v>
      </c>
    </row>
    <row r="131" ht="18.0" customHeight="1">
      <c r="A131" s="5" t="s">
        <v>1513</v>
      </c>
      <c r="B131" s="5" t="s">
        <v>1017</v>
      </c>
      <c r="C131" s="6">
        <v>4.0</v>
      </c>
      <c r="D131" s="9" t="s">
        <v>1330</v>
      </c>
      <c r="E131" s="9" t="s">
        <v>1338</v>
      </c>
      <c r="F131" s="12">
        <v>46095.42513888889</v>
      </c>
      <c r="G131" s="12">
        <v>46095.67513888889</v>
      </c>
      <c r="H131" s="5" t="s">
        <v>405</v>
      </c>
      <c r="I131" s="5" t="s">
        <v>1332</v>
      </c>
    </row>
    <row r="132" ht="18.0" customHeight="1">
      <c r="A132" s="5" t="s">
        <v>1514</v>
      </c>
      <c r="B132" s="5" t="s">
        <v>1020</v>
      </c>
      <c r="C132" s="6">
        <v>4.0</v>
      </c>
      <c r="D132" s="9" t="s">
        <v>1330</v>
      </c>
      <c r="E132" s="9" t="s">
        <v>1331</v>
      </c>
      <c r="F132" s="12">
        <v>46202.04546296296</v>
      </c>
      <c r="G132" s="12">
        <v>46202.29546296296</v>
      </c>
      <c r="H132" s="5" t="s">
        <v>68</v>
      </c>
      <c r="I132" s="5" t="s">
        <v>1332</v>
      </c>
    </row>
    <row r="133" ht="18.0" customHeight="1">
      <c r="A133" s="5" t="s">
        <v>1515</v>
      </c>
      <c r="B133" s="5" t="s">
        <v>1022</v>
      </c>
      <c r="C133" s="6">
        <v>4.0</v>
      </c>
      <c r="D133" s="9" t="s">
        <v>1330</v>
      </c>
      <c r="E133" s="9" t="s">
        <v>1344</v>
      </c>
      <c r="F133" s="12">
        <v>45897.466770833336</v>
      </c>
      <c r="G133" s="12">
        <v>45897.716770833336</v>
      </c>
      <c r="H133" s="5" t="s">
        <v>107</v>
      </c>
      <c r="I133" s="5" t="s">
        <v>1332</v>
      </c>
    </row>
    <row r="134" ht="18.0" customHeight="1">
      <c r="A134" s="5" t="s">
        <v>1516</v>
      </c>
      <c r="B134" s="5" t="s">
        <v>1025</v>
      </c>
      <c r="C134" s="6">
        <v>3.0</v>
      </c>
      <c r="D134" s="9" t="s">
        <v>1337</v>
      </c>
      <c r="E134" s="9" t="s">
        <v>1335</v>
      </c>
      <c r="F134" s="12">
        <v>45756.36126157407</v>
      </c>
      <c r="G134" s="12">
        <v>45756.61126157407</v>
      </c>
      <c r="H134" s="5" t="s">
        <v>452</v>
      </c>
      <c r="I134" s="5" t="s">
        <v>1332</v>
      </c>
    </row>
    <row r="135" ht="18.0" customHeight="1">
      <c r="A135" s="5" t="s">
        <v>1517</v>
      </c>
      <c r="B135" s="5" t="s">
        <v>1033</v>
      </c>
      <c r="C135" s="6">
        <v>5.0</v>
      </c>
      <c r="D135" s="9" t="s">
        <v>1330</v>
      </c>
      <c r="E135" s="9" t="s">
        <v>1338</v>
      </c>
      <c r="F135" s="12">
        <v>45870.52576388889</v>
      </c>
      <c r="G135" s="12">
        <v>45870.77576388889</v>
      </c>
      <c r="H135" s="5" t="s">
        <v>213</v>
      </c>
      <c r="I135" s="5" t="s">
        <v>1332</v>
      </c>
    </row>
    <row r="136" ht="18.0" customHeight="1">
      <c r="A136" s="5" t="s">
        <v>1518</v>
      </c>
      <c r="B136" s="5" t="s">
        <v>1036</v>
      </c>
      <c r="C136" s="6">
        <v>2.0</v>
      </c>
      <c r="D136" s="9" t="s">
        <v>1356</v>
      </c>
      <c r="E136" s="9" t="s">
        <v>1357</v>
      </c>
      <c r="F136" s="12">
        <v>45644.221817129626</v>
      </c>
      <c r="G136" s="12">
        <v>45644.471817129626</v>
      </c>
      <c r="H136" s="5" t="s">
        <v>520</v>
      </c>
      <c r="I136" s="5" t="s">
        <v>1332</v>
      </c>
    </row>
    <row r="137" ht="18.0" customHeight="1">
      <c r="A137" s="5" t="s">
        <v>1519</v>
      </c>
      <c r="B137" s="5" t="s">
        <v>1038</v>
      </c>
      <c r="C137" s="6">
        <v>5.0</v>
      </c>
      <c r="D137" s="9" t="s">
        <v>1330</v>
      </c>
      <c r="E137" s="9" t="s">
        <v>1338</v>
      </c>
      <c r="F137" s="12">
        <v>45591.13155092593</v>
      </c>
      <c r="G137" s="12">
        <v>45591.38155092593</v>
      </c>
      <c r="H137" s="5" t="s">
        <v>277</v>
      </c>
      <c r="I137" s="5" t="s">
        <v>1332</v>
      </c>
    </row>
    <row r="138" ht="18.0" customHeight="1">
      <c r="A138" s="5" t="s">
        <v>1520</v>
      </c>
      <c r="B138" s="5" t="s">
        <v>1040</v>
      </c>
      <c r="C138" s="6">
        <v>3.0</v>
      </c>
      <c r="D138" s="9" t="s">
        <v>1337</v>
      </c>
      <c r="E138" s="9" t="s">
        <v>1344</v>
      </c>
      <c r="F138" s="12">
        <v>46177.70755787037</v>
      </c>
      <c r="G138" s="12">
        <v>46177.95755787037</v>
      </c>
      <c r="H138" s="5" t="s">
        <v>254</v>
      </c>
      <c r="I138" s="5" t="s">
        <v>1332</v>
      </c>
    </row>
    <row r="139" ht="18.0" customHeight="1">
      <c r="A139" s="5" t="s">
        <v>1521</v>
      </c>
      <c r="B139" s="5" t="s">
        <v>1041</v>
      </c>
      <c r="C139" s="6">
        <v>5.0</v>
      </c>
      <c r="D139" s="9" t="s">
        <v>1330</v>
      </c>
      <c r="E139" s="9" t="s">
        <v>1338</v>
      </c>
      <c r="F139" s="12">
        <v>46011.87165509259</v>
      </c>
      <c r="G139" s="12">
        <v>46012.12165509259</v>
      </c>
      <c r="H139" s="5" t="s">
        <v>520</v>
      </c>
      <c r="I139" s="5" t="s">
        <v>1332</v>
      </c>
    </row>
    <row r="140" ht="18.0" customHeight="1">
      <c r="A140" s="5" t="s">
        <v>1522</v>
      </c>
      <c r="B140" s="5" t="s">
        <v>1043</v>
      </c>
      <c r="C140" s="6">
        <v>3.0</v>
      </c>
      <c r="D140" s="9" t="s">
        <v>1337</v>
      </c>
      <c r="E140" s="9" t="s">
        <v>1331</v>
      </c>
      <c r="F140" s="12">
        <v>45855.476331018515</v>
      </c>
      <c r="G140" s="12">
        <v>45855.726331018515</v>
      </c>
      <c r="H140" s="5" t="s">
        <v>315</v>
      </c>
      <c r="I140" s="5" t="s">
        <v>1332</v>
      </c>
    </row>
    <row r="141" ht="18.0" customHeight="1">
      <c r="A141" s="5" t="s">
        <v>1523</v>
      </c>
      <c r="B141" s="5" t="s">
        <v>1045</v>
      </c>
      <c r="C141" s="6">
        <v>3.0</v>
      </c>
      <c r="D141" s="9" t="s">
        <v>1337</v>
      </c>
      <c r="E141" s="9" t="s">
        <v>1347</v>
      </c>
      <c r="F141" s="12">
        <v>45730.137395833335</v>
      </c>
      <c r="G141" s="12">
        <v>45730.387395833335</v>
      </c>
      <c r="H141" s="5" t="s">
        <v>560</v>
      </c>
      <c r="I141" s="5" t="s">
        <v>1332</v>
      </c>
    </row>
    <row r="142" ht="18.0" customHeight="1">
      <c r="A142" s="5" t="s">
        <v>1524</v>
      </c>
      <c r="B142" s="5" t="s">
        <v>1046</v>
      </c>
      <c r="C142" s="6">
        <v>3.0</v>
      </c>
      <c r="D142" s="9" t="s">
        <v>1337</v>
      </c>
      <c r="E142" s="9" t="s">
        <v>1331</v>
      </c>
      <c r="F142" s="12">
        <v>45538.98747685185</v>
      </c>
      <c r="G142" s="12">
        <v>45539.23747685185</v>
      </c>
      <c r="H142" s="5" t="s">
        <v>358</v>
      </c>
      <c r="I142" s="5" t="s">
        <v>1332</v>
      </c>
    </row>
  </sheetData>
  <autoFilter ref="$A$1:$I$14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82C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17.75"/>
    <col customWidth="1" min="3" max="3" width="13.5"/>
    <col customWidth="1" min="4" max="4" width="9.63"/>
    <col customWidth="1" min="5" max="5" width="16.5"/>
    <col customWidth="1" min="6" max="6" width="20.38"/>
  </cols>
  <sheetData>
    <row r="1" ht="27.0" customHeight="1">
      <c r="A1" s="1" t="s">
        <v>33</v>
      </c>
      <c r="B1" s="1" t="s">
        <v>1525</v>
      </c>
      <c r="C1" s="1" t="s">
        <v>1526</v>
      </c>
      <c r="D1" s="1" t="s">
        <v>1527</v>
      </c>
      <c r="E1" s="1" t="s">
        <v>8</v>
      </c>
      <c r="F1" s="1" t="s">
        <v>1528</v>
      </c>
      <c r="G1" s="19"/>
      <c r="H1" s="19"/>
      <c r="I1" s="19"/>
      <c r="J1" s="19"/>
      <c r="K1" s="1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 t="s">
        <v>321</v>
      </c>
      <c r="B2" s="5">
        <v>10000.0</v>
      </c>
      <c r="C2" s="5" t="s">
        <v>70</v>
      </c>
      <c r="D2" s="5" t="s">
        <v>71</v>
      </c>
      <c r="E2" s="5" t="s">
        <v>74</v>
      </c>
      <c r="F2" s="5" t="s">
        <v>1529</v>
      </c>
      <c r="G2" s="20"/>
      <c r="H2" s="20"/>
      <c r="I2" s="20"/>
      <c r="J2" s="20"/>
      <c r="K2" s="20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8.0" customHeight="1">
      <c r="A3" s="5" t="s">
        <v>304</v>
      </c>
      <c r="B3" s="5">
        <v>18000.0</v>
      </c>
      <c r="C3" s="5" t="s">
        <v>123</v>
      </c>
      <c r="D3" s="5" t="s">
        <v>124</v>
      </c>
      <c r="E3" s="5" t="s">
        <v>74</v>
      </c>
      <c r="F3" s="5" t="s">
        <v>1530</v>
      </c>
      <c r="G3" s="20"/>
      <c r="H3" s="20"/>
      <c r="I3" s="20"/>
      <c r="J3" s="20"/>
      <c r="K3" s="20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8.0" customHeight="1">
      <c r="A4" s="5" t="s">
        <v>156</v>
      </c>
      <c r="B4" s="5">
        <v>20000.0</v>
      </c>
      <c r="C4" s="5" t="s">
        <v>171</v>
      </c>
      <c r="D4" s="5" t="s">
        <v>172</v>
      </c>
      <c r="E4" s="5" t="s">
        <v>74</v>
      </c>
      <c r="F4" s="5" t="s">
        <v>1531</v>
      </c>
      <c r="G4" s="20"/>
      <c r="H4" s="20"/>
      <c r="I4" s="20"/>
      <c r="J4" s="20"/>
      <c r="K4" s="20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8.0" customHeight="1">
      <c r="A5" s="5" t="s">
        <v>445</v>
      </c>
      <c r="B5" s="5">
        <v>16000.0</v>
      </c>
      <c r="C5" s="5" t="s">
        <v>142</v>
      </c>
      <c r="D5" s="5" t="s">
        <v>143</v>
      </c>
      <c r="E5" s="5" t="s">
        <v>74</v>
      </c>
      <c r="F5" s="5" t="s">
        <v>1532</v>
      </c>
      <c r="G5" s="20"/>
      <c r="H5" s="20"/>
      <c r="I5" s="20"/>
      <c r="J5" s="20"/>
      <c r="K5" s="20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8.0" customHeight="1">
      <c r="A6" s="5" t="s">
        <v>397</v>
      </c>
      <c r="B6" s="5">
        <v>17000.0</v>
      </c>
      <c r="C6" s="5" t="s">
        <v>287</v>
      </c>
      <c r="D6" s="5" t="s">
        <v>288</v>
      </c>
      <c r="E6" s="5" t="s">
        <v>74</v>
      </c>
      <c r="F6" s="5" t="s">
        <v>1533</v>
      </c>
      <c r="G6" s="20"/>
      <c r="H6" s="20"/>
      <c r="I6" s="20"/>
      <c r="J6" s="20"/>
      <c r="K6" s="20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8.0" customHeight="1">
      <c r="A7" s="5" t="s">
        <v>550</v>
      </c>
      <c r="B7" s="5">
        <v>25000.0</v>
      </c>
      <c r="C7" s="5" t="s">
        <v>96</v>
      </c>
      <c r="D7" s="5" t="s">
        <v>97</v>
      </c>
      <c r="E7" s="5" t="s">
        <v>74</v>
      </c>
      <c r="F7" s="5" t="s">
        <v>1534</v>
      </c>
      <c r="G7" s="20"/>
      <c r="H7" s="20"/>
      <c r="I7" s="20"/>
      <c r="J7" s="20"/>
      <c r="K7" s="20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8.0" customHeight="1">
      <c r="A8" s="5" t="s">
        <v>602</v>
      </c>
      <c r="B8" s="5">
        <v>55000.0</v>
      </c>
      <c r="C8" s="5" t="s">
        <v>39</v>
      </c>
      <c r="D8" s="5" t="s">
        <v>41</v>
      </c>
      <c r="E8" s="5" t="s">
        <v>46</v>
      </c>
      <c r="F8" s="5" t="s">
        <v>1535</v>
      </c>
      <c r="G8" s="20"/>
      <c r="H8" s="20"/>
      <c r="I8" s="20"/>
      <c r="J8" s="20"/>
      <c r="K8" s="20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8.0" customHeight="1">
      <c r="A9" s="5" t="s">
        <v>227</v>
      </c>
      <c r="B9" s="5">
        <v>53000.0</v>
      </c>
      <c r="C9" s="5" t="s">
        <v>192</v>
      </c>
      <c r="D9" s="5" t="s">
        <v>194</v>
      </c>
      <c r="E9" s="5" t="s">
        <v>46</v>
      </c>
      <c r="F9" s="5" t="s">
        <v>1536</v>
      </c>
      <c r="G9" s="20"/>
      <c r="H9" s="20"/>
      <c r="I9" s="20"/>
      <c r="J9" s="20"/>
      <c r="K9" s="20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.0" customHeight="1">
      <c r="A10" s="5" t="s">
        <v>178</v>
      </c>
      <c r="B10" s="5">
        <v>56000.0</v>
      </c>
      <c r="C10" s="5" t="s">
        <v>84</v>
      </c>
      <c r="D10" s="5" t="s">
        <v>86</v>
      </c>
      <c r="E10" s="5" t="s">
        <v>46</v>
      </c>
      <c r="F10" s="5" t="s">
        <v>1539</v>
      </c>
      <c r="G10" s="20"/>
      <c r="H10" s="20"/>
      <c r="I10" s="20"/>
      <c r="J10" s="20"/>
      <c r="K10" s="20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.0" customHeight="1">
      <c r="A11" s="5" t="s">
        <v>589</v>
      </c>
      <c r="B11" s="5">
        <v>65000.0</v>
      </c>
      <c r="C11" s="5" t="s">
        <v>132</v>
      </c>
      <c r="D11" s="5" t="s">
        <v>133</v>
      </c>
      <c r="E11" s="5" t="s">
        <v>46</v>
      </c>
      <c r="F11" s="5" t="s">
        <v>1543</v>
      </c>
      <c r="G11" s="20"/>
      <c r="H11" s="20"/>
      <c r="I11" s="20"/>
      <c r="J11" s="20"/>
      <c r="K11" s="20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8.0" customHeight="1">
      <c r="A12" s="5" t="s">
        <v>414</v>
      </c>
      <c r="B12" s="5">
        <v>43000.0</v>
      </c>
      <c r="C12" s="5" t="s">
        <v>553</v>
      </c>
      <c r="D12" s="5" t="s">
        <v>554</v>
      </c>
      <c r="E12" s="5" t="s">
        <v>46</v>
      </c>
      <c r="F12" s="5" t="s">
        <v>1544</v>
      </c>
      <c r="G12" s="20"/>
      <c r="H12" s="20"/>
      <c r="I12" s="20"/>
      <c r="J12" s="20"/>
      <c r="K12" s="20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8.0" customHeight="1">
      <c r="A13" s="5" t="s">
        <v>701</v>
      </c>
      <c r="B13" s="5">
        <v>59000.0</v>
      </c>
      <c r="C13" s="5" t="s">
        <v>306</v>
      </c>
      <c r="D13" s="5" t="s">
        <v>307</v>
      </c>
      <c r="E13" s="5" t="s">
        <v>46</v>
      </c>
      <c r="F13" s="5" t="s">
        <v>1545</v>
      </c>
      <c r="G13" s="20"/>
      <c r="H13" s="20"/>
      <c r="I13" s="20"/>
      <c r="J13" s="20"/>
      <c r="K13" s="20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8.0" customHeight="1">
      <c r="A14" s="5" t="s">
        <v>690</v>
      </c>
      <c r="B14" s="5">
        <v>70000.0</v>
      </c>
      <c r="C14" s="5" t="s">
        <v>260</v>
      </c>
      <c r="D14" s="5" t="s">
        <v>415</v>
      </c>
      <c r="E14" s="5" t="s">
        <v>154</v>
      </c>
      <c r="F14" s="5" t="s">
        <v>1546</v>
      </c>
      <c r="G14" s="20"/>
      <c r="H14" s="20"/>
      <c r="I14" s="20"/>
      <c r="J14" s="20"/>
      <c r="K14" s="20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8.0" customHeight="1">
      <c r="A15" s="5" t="s">
        <v>715</v>
      </c>
      <c r="B15" s="5">
        <v>75000.0</v>
      </c>
      <c r="C15" s="5" t="s">
        <v>379</v>
      </c>
      <c r="D15" s="5" t="s">
        <v>380</v>
      </c>
      <c r="E15" s="5" t="s">
        <v>154</v>
      </c>
      <c r="F15" s="5" t="s">
        <v>1547</v>
      </c>
      <c r="G15" s="20"/>
      <c r="H15" s="20"/>
      <c r="I15" s="20"/>
      <c r="J15" s="20"/>
      <c r="K15" s="20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.0" customHeight="1">
      <c r="A16" s="5" t="s">
        <v>770</v>
      </c>
      <c r="B16" s="5">
        <v>76000.0</v>
      </c>
      <c r="C16" s="5" t="s">
        <v>268</v>
      </c>
      <c r="D16" s="5" t="s">
        <v>269</v>
      </c>
      <c r="E16" s="5" t="s">
        <v>154</v>
      </c>
      <c r="F16" s="5" t="s">
        <v>1548</v>
      </c>
      <c r="G16" s="20"/>
      <c r="H16" s="20"/>
      <c r="I16" s="20"/>
      <c r="J16" s="20"/>
      <c r="K16" s="20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.0" customHeight="1">
      <c r="A17" s="5" t="s">
        <v>729</v>
      </c>
      <c r="B17" s="5">
        <v>90000.0</v>
      </c>
      <c r="C17" s="5" t="s">
        <v>215</v>
      </c>
      <c r="D17" s="5" t="s">
        <v>216</v>
      </c>
      <c r="E17" s="5" t="s">
        <v>154</v>
      </c>
      <c r="F17" s="5" t="s">
        <v>1549</v>
      </c>
      <c r="G17" s="20"/>
      <c r="H17" s="20"/>
      <c r="I17" s="20"/>
      <c r="J17" s="20"/>
      <c r="K17" s="20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8.0" customHeight="1">
      <c r="A18" s="5" t="s">
        <v>879</v>
      </c>
      <c r="B18" s="5">
        <v>82000.0</v>
      </c>
      <c r="C18" s="5" t="s">
        <v>202</v>
      </c>
      <c r="D18" s="5" t="s">
        <v>203</v>
      </c>
      <c r="E18" s="5" t="s">
        <v>154</v>
      </c>
      <c r="F18" s="5" t="s">
        <v>1550</v>
      </c>
      <c r="G18" s="20"/>
      <c r="H18" s="20"/>
      <c r="I18" s="20"/>
      <c r="J18" s="20"/>
      <c r="K18" s="20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8.0" customHeight="1">
      <c r="A19" s="5" t="s">
        <v>460</v>
      </c>
      <c r="B19" s="5">
        <v>78000.0</v>
      </c>
      <c r="C19" s="5" t="s">
        <v>151</v>
      </c>
      <c r="D19" s="5" t="s">
        <v>152</v>
      </c>
      <c r="E19" s="5" t="s">
        <v>154</v>
      </c>
      <c r="F19" s="5" t="s">
        <v>1551</v>
      </c>
      <c r="G19" s="20"/>
      <c r="H19" s="20"/>
      <c r="I19" s="20"/>
      <c r="J19" s="20"/>
      <c r="K19" s="20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8.0" customHeight="1">
      <c r="A20" s="5" t="s">
        <v>81</v>
      </c>
      <c r="B20" s="5">
        <v>10000.0</v>
      </c>
      <c r="C20" s="5" t="s">
        <v>70</v>
      </c>
      <c r="D20" s="5" t="s">
        <v>71</v>
      </c>
      <c r="E20" s="5" t="s">
        <v>74</v>
      </c>
      <c r="F20" s="5" t="s">
        <v>1552</v>
      </c>
      <c r="G20" s="20"/>
      <c r="H20" s="20"/>
      <c r="I20" s="20"/>
      <c r="J20" s="20"/>
      <c r="K20" s="20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8.0" customHeight="1">
      <c r="A21" s="5" t="s">
        <v>541</v>
      </c>
      <c r="B21" s="5">
        <v>18000.0</v>
      </c>
      <c r="C21" s="5" t="s">
        <v>123</v>
      </c>
      <c r="D21" s="5" t="s">
        <v>124</v>
      </c>
      <c r="E21" s="5" t="s">
        <v>74</v>
      </c>
      <c r="F21" s="5" t="s">
        <v>1553</v>
      </c>
      <c r="G21" s="20"/>
      <c r="H21" s="20"/>
      <c r="I21" s="20"/>
      <c r="J21" s="20"/>
      <c r="K21" s="20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8.0" customHeight="1">
      <c r="A22" s="5" t="s">
        <v>286</v>
      </c>
      <c r="B22" s="5">
        <v>20000.0</v>
      </c>
      <c r="C22" s="5" t="s">
        <v>171</v>
      </c>
      <c r="D22" s="5" t="s">
        <v>172</v>
      </c>
      <c r="E22" s="5" t="s">
        <v>74</v>
      </c>
      <c r="F22" s="5" t="s">
        <v>1554</v>
      </c>
      <c r="G22" s="20"/>
      <c r="H22" s="20"/>
      <c r="I22" s="20"/>
      <c r="J22" s="20"/>
      <c r="K22" s="20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8.0" customHeight="1">
      <c r="A23" s="5" t="s">
        <v>478</v>
      </c>
      <c r="B23" s="5">
        <v>16000.0</v>
      </c>
      <c r="C23" s="5" t="s">
        <v>142</v>
      </c>
      <c r="D23" s="5" t="s">
        <v>143</v>
      </c>
      <c r="E23" s="5" t="s">
        <v>74</v>
      </c>
      <c r="F23" s="5" t="s">
        <v>1555</v>
      </c>
      <c r="G23" s="20"/>
      <c r="H23" s="20"/>
      <c r="I23" s="20"/>
      <c r="J23" s="20"/>
      <c r="K23" s="20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8.0" customHeight="1">
      <c r="A24" s="5" t="s">
        <v>243</v>
      </c>
      <c r="B24" s="5">
        <v>17000.0</v>
      </c>
      <c r="C24" s="5" t="s">
        <v>287</v>
      </c>
      <c r="D24" s="5" t="s">
        <v>288</v>
      </c>
      <c r="E24" s="5" t="s">
        <v>74</v>
      </c>
      <c r="F24" s="5" t="s">
        <v>1556</v>
      </c>
      <c r="G24" s="20"/>
      <c r="H24" s="20"/>
      <c r="I24" s="20"/>
      <c r="J24" s="20"/>
      <c r="K24" s="20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8.0" customHeight="1">
      <c r="A25" s="5" t="s">
        <v>800</v>
      </c>
      <c r="B25" s="5">
        <v>25000.0</v>
      </c>
      <c r="C25" s="5" t="s">
        <v>96</v>
      </c>
      <c r="D25" s="5" t="s">
        <v>97</v>
      </c>
      <c r="E25" s="5" t="s">
        <v>74</v>
      </c>
      <c r="F25" s="5" t="s">
        <v>1557</v>
      </c>
      <c r="G25" s="20"/>
      <c r="H25" s="20"/>
      <c r="I25" s="20"/>
      <c r="J25" s="20"/>
      <c r="K25" s="20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.0" customHeight="1">
      <c r="A26" s="5" t="s">
        <v>337</v>
      </c>
      <c r="B26" s="5">
        <v>55000.0</v>
      </c>
      <c r="C26" s="5" t="s">
        <v>39</v>
      </c>
      <c r="D26" s="5" t="s">
        <v>41</v>
      </c>
      <c r="E26" s="5" t="s">
        <v>46</v>
      </c>
      <c r="F26" s="5" t="s">
        <v>1558</v>
      </c>
      <c r="G26" s="20"/>
      <c r="H26" s="20"/>
      <c r="I26" s="20"/>
      <c r="J26" s="20"/>
      <c r="K26" s="20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8.0" customHeight="1">
      <c r="A27" s="5" t="s">
        <v>615</v>
      </c>
      <c r="B27" s="5">
        <v>53000.0</v>
      </c>
      <c r="C27" s="5" t="s">
        <v>192</v>
      </c>
      <c r="D27" s="5" t="s">
        <v>194</v>
      </c>
      <c r="E27" s="5" t="s">
        <v>46</v>
      </c>
      <c r="F27" s="5" t="s">
        <v>1559</v>
      </c>
      <c r="G27" s="20"/>
      <c r="H27" s="20"/>
      <c r="I27" s="20"/>
      <c r="J27" s="20"/>
      <c r="K27" s="20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.0" customHeight="1">
      <c r="A28" s="5" t="s">
        <v>707</v>
      </c>
      <c r="B28" s="5">
        <v>56000.0</v>
      </c>
      <c r="C28" s="5" t="s">
        <v>84</v>
      </c>
      <c r="D28" s="5" t="s">
        <v>86</v>
      </c>
      <c r="E28" s="5" t="s">
        <v>46</v>
      </c>
      <c r="F28" s="5" t="s">
        <v>1560</v>
      </c>
      <c r="G28" s="20"/>
      <c r="H28" s="20"/>
      <c r="I28" s="20"/>
      <c r="J28" s="20"/>
      <c r="K28" s="20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8.0" customHeight="1">
      <c r="A29" s="5" t="s">
        <v>667</v>
      </c>
      <c r="B29" s="5">
        <v>65000.0</v>
      </c>
      <c r="C29" s="5" t="s">
        <v>132</v>
      </c>
      <c r="D29" s="5" t="s">
        <v>133</v>
      </c>
      <c r="E29" s="5" t="s">
        <v>46</v>
      </c>
      <c r="F29" s="5" t="s">
        <v>1561</v>
      </c>
      <c r="G29" s="20"/>
      <c r="H29" s="20"/>
      <c r="I29" s="20"/>
      <c r="J29" s="20"/>
      <c r="K29" s="20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8.0" customHeight="1">
      <c r="A30" s="5" t="s">
        <v>191</v>
      </c>
      <c r="B30" s="5">
        <v>43000.0</v>
      </c>
      <c r="C30" s="5" t="s">
        <v>553</v>
      </c>
      <c r="D30" s="5" t="s">
        <v>554</v>
      </c>
      <c r="E30" s="5" t="s">
        <v>46</v>
      </c>
      <c r="F30" s="5" t="s">
        <v>1562</v>
      </c>
      <c r="G30" s="20"/>
      <c r="H30" s="20"/>
      <c r="I30" s="20"/>
      <c r="J30" s="20"/>
      <c r="K30" s="20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8.0" customHeight="1">
      <c r="A31" s="5" t="s">
        <v>266</v>
      </c>
      <c r="B31" s="5">
        <v>59000.0</v>
      </c>
      <c r="C31" s="5" t="s">
        <v>306</v>
      </c>
      <c r="D31" s="5" t="s">
        <v>307</v>
      </c>
      <c r="E31" s="5" t="s">
        <v>46</v>
      </c>
      <c r="F31" s="5" t="s">
        <v>1563</v>
      </c>
      <c r="G31" s="20"/>
      <c r="H31" s="20"/>
      <c r="I31" s="20"/>
      <c r="J31" s="20"/>
      <c r="K31" s="20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autoFilter ref="$A$1:$K$3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82C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3" width="12.75"/>
    <col customWidth="1" min="4" max="4" width="13.63"/>
    <col customWidth="1" min="5" max="5" width="14.13"/>
    <col customWidth="1" min="6" max="6" width="9.0"/>
  </cols>
  <sheetData>
    <row r="1" ht="27.0" customHeight="1">
      <c r="A1" s="1" t="s">
        <v>1537</v>
      </c>
      <c r="B1" s="1" t="s">
        <v>1538</v>
      </c>
      <c r="C1" s="1" t="s">
        <v>1540</v>
      </c>
      <c r="D1" s="1" t="s">
        <v>1541</v>
      </c>
      <c r="E1" s="1" t="s">
        <v>1542</v>
      </c>
      <c r="F1" s="1" t="s">
        <v>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>
        <v>10000.0</v>
      </c>
      <c r="B2" s="6">
        <v>21.0285</v>
      </c>
      <c r="C2" s="6">
        <v>105.8542</v>
      </c>
      <c r="D2" s="5" t="s">
        <v>70</v>
      </c>
      <c r="E2" s="5" t="s">
        <v>71</v>
      </c>
      <c r="F2" s="5" t="s">
        <v>74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5">
        <v>18000.0</v>
      </c>
      <c r="B3" s="6">
        <v>20.8449</v>
      </c>
      <c r="C3" s="6">
        <v>106.6881</v>
      </c>
      <c r="D3" s="5" t="s">
        <v>123</v>
      </c>
      <c r="E3" s="5" t="s">
        <v>124</v>
      </c>
      <c r="F3" s="5" t="s">
        <v>74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5">
        <v>20000.0</v>
      </c>
      <c r="B4" s="6">
        <v>20.95</v>
      </c>
      <c r="C4" s="6">
        <v>107.08</v>
      </c>
      <c r="D4" s="5" t="s">
        <v>171</v>
      </c>
      <c r="E4" s="5" t="s">
        <v>172</v>
      </c>
      <c r="F4" s="5" t="s">
        <v>74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5">
        <v>16000.0</v>
      </c>
      <c r="B5" s="6">
        <v>21.1861</v>
      </c>
      <c r="C5" s="6">
        <v>106.0763</v>
      </c>
      <c r="D5" s="5" t="s">
        <v>142</v>
      </c>
      <c r="E5" s="5" t="s">
        <v>143</v>
      </c>
      <c r="F5" s="5" t="s">
        <v>74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5">
        <v>17000.0</v>
      </c>
      <c r="B6" s="6">
        <v>20.4388</v>
      </c>
      <c r="C6" s="6">
        <v>106.1621</v>
      </c>
      <c r="D6" s="5" t="s">
        <v>287</v>
      </c>
      <c r="E6" s="5" t="s">
        <v>288</v>
      </c>
      <c r="F6" s="5" t="s">
        <v>74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5">
        <v>25000.0</v>
      </c>
      <c r="B7" s="6">
        <v>21.5942</v>
      </c>
      <c r="C7" s="6">
        <v>105.8482</v>
      </c>
      <c r="D7" s="5" t="s">
        <v>96</v>
      </c>
      <c r="E7" s="5" t="s">
        <v>97</v>
      </c>
      <c r="F7" s="5" t="s">
        <v>74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5">
        <v>55000.0</v>
      </c>
      <c r="B8" s="6">
        <v>16.0544</v>
      </c>
      <c r="C8" s="6">
        <v>108.2022</v>
      </c>
      <c r="D8" s="5" t="s">
        <v>39</v>
      </c>
      <c r="E8" s="5" t="s">
        <v>41</v>
      </c>
      <c r="F8" s="5" t="s">
        <v>46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5">
        <v>53000.0</v>
      </c>
      <c r="B9" s="6">
        <v>16.4637</v>
      </c>
      <c r="C9" s="6">
        <v>107.5909</v>
      </c>
      <c r="D9" s="5" t="s">
        <v>192</v>
      </c>
      <c r="E9" s="5" t="s">
        <v>194</v>
      </c>
      <c r="F9" s="5" t="s">
        <v>46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5">
        <v>56000.0</v>
      </c>
      <c r="B10" s="6">
        <v>15.5394</v>
      </c>
      <c r="C10" s="6">
        <v>108.0191</v>
      </c>
      <c r="D10" s="5" t="s">
        <v>84</v>
      </c>
      <c r="E10" s="5" t="s">
        <v>86</v>
      </c>
      <c r="F10" s="5" t="s">
        <v>46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5">
        <v>65000.0</v>
      </c>
      <c r="B11" s="6">
        <v>12.2388</v>
      </c>
      <c r="C11" s="6">
        <v>109.1967</v>
      </c>
      <c r="D11" s="5" t="s">
        <v>132</v>
      </c>
      <c r="E11" s="5" t="s">
        <v>133</v>
      </c>
      <c r="F11" s="5" t="s">
        <v>46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5">
        <v>43000.0</v>
      </c>
      <c r="B12" s="6">
        <v>18.6796</v>
      </c>
      <c r="C12" s="6">
        <v>105.6813</v>
      </c>
      <c r="D12" s="5" t="s">
        <v>553</v>
      </c>
      <c r="E12" s="5" t="s">
        <v>554</v>
      </c>
      <c r="F12" s="5" t="s">
        <v>46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5">
        <v>59000.0</v>
      </c>
      <c r="B13" s="6">
        <v>13.782</v>
      </c>
      <c r="C13" s="6">
        <v>109.219</v>
      </c>
      <c r="D13" s="5" t="s">
        <v>306</v>
      </c>
      <c r="E13" s="5" t="s">
        <v>307</v>
      </c>
      <c r="F13" s="5" t="s">
        <v>46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5">
        <v>70000.0</v>
      </c>
      <c r="B14" s="6">
        <v>10.7769</v>
      </c>
      <c r="C14" s="6">
        <v>106.7009</v>
      </c>
      <c r="D14" s="5" t="s">
        <v>260</v>
      </c>
      <c r="E14" s="5" t="s">
        <v>415</v>
      </c>
      <c r="F14" s="5" t="s">
        <v>154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5">
        <v>75000.0</v>
      </c>
      <c r="B15" s="6">
        <v>10.9804</v>
      </c>
      <c r="C15" s="6">
        <v>106.6519</v>
      </c>
      <c r="D15" s="5" t="s">
        <v>379</v>
      </c>
      <c r="E15" s="5" t="s">
        <v>380</v>
      </c>
      <c r="F15" s="5" t="s">
        <v>154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5">
        <v>76000.0</v>
      </c>
      <c r="B16" s="6">
        <v>10.9574</v>
      </c>
      <c r="C16" s="6">
        <v>106.8426</v>
      </c>
      <c r="D16" s="5" t="s">
        <v>268</v>
      </c>
      <c r="E16" s="5" t="s">
        <v>269</v>
      </c>
      <c r="F16" s="5" t="s">
        <v>154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5">
        <v>90000.0</v>
      </c>
      <c r="B17" s="6">
        <v>10.0452</v>
      </c>
      <c r="C17" s="6">
        <v>105.7469</v>
      </c>
      <c r="D17" s="5" t="s">
        <v>215</v>
      </c>
      <c r="E17" s="5" t="s">
        <v>216</v>
      </c>
      <c r="F17" s="5" t="s">
        <v>154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5">
        <v>82000.0</v>
      </c>
      <c r="B18" s="6">
        <v>10.6956</v>
      </c>
      <c r="C18" s="6">
        <v>106.2431</v>
      </c>
      <c r="D18" s="5" t="s">
        <v>202</v>
      </c>
      <c r="E18" s="5" t="s">
        <v>203</v>
      </c>
      <c r="F18" s="5" t="s">
        <v>154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5">
        <v>78000.0</v>
      </c>
      <c r="B19" s="6">
        <v>10.4114</v>
      </c>
      <c r="C19" s="6">
        <v>107.1362</v>
      </c>
      <c r="D19" s="5" t="s">
        <v>151</v>
      </c>
      <c r="E19" s="5" t="s">
        <v>152</v>
      </c>
      <c r="F19" s="5" t="s">
        <v>154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20"/>
      <c r="B20" s="20"/>
      <c r="C20" s="20"/>
      <c r="D20" s="20"/>
      <c r="E20" s="20"/>
      <c r="F20" s="2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20"/>
      <c r="B21" s="20"/>
      <c r="C21" s="20"/>
      <c r="D21" s="20"/>
      <c r="E21" s="20"/>
      <c r="F21" s="2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20"/>
      <c r="B22" s="20"/>
      <c r="C22" s="20"/>
      <c r="D22" s="20"/>
      <c r="E22" s="20"/>
      <c r="F22" s="2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20"/>
      <c r="B23" s="20"/>
      <c r="C23" s="20"/>
      <c r="D23" s="20"/>
      <c r="E23" s="20"/>
      <c r="F23" s="2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20"/>
      <c r="B24" s="20"/>
      <c r="C24" s="20"/>
      <c r="D24" s="20"/>
      <c r="E24" s="20"/>
      <c r="F24" s="20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20"/>
      <c r="B25" s="20"/>
      <c r="C25" s="20"/>
      <c r="D25" s="20"/>
      <c r="E25" s="20"/>
      <c r="F25" s="20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20"/>
      <c r="B26" s="20"/>
      <c r="C26" s="20"/>
      <c r="D26" s="20"/>
      <c r="E26" s="20"/>
      <c r="F26" s="2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20"/>
      <c r="B27" s="20"/>
      <c r="C27" s="20"/>
      <c r="D27" s="20"/>
      <c r="E27" s="20"/>
      <c r="F27" s="20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20"/>
      <c r="B28" s="20"/>
      <c r="C28" s="20"/>
      <c r="D28" s="20"/>
      <c r="E28" s="20"/>
      <c r="F28" s="20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20"/>
      <c r="B29" s="20"/>
      <c r="C29" s="20"/>
      <c r="D29" s="20"/>
      <c r="E29" s="20"/>
      <c r="F29" s="2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20"/>
      <c r="B30" s="20"/>
      <c r="C30" s="20"/>
      <c r="D30" s="20"/>
      <c r="E30" s="20"/>
      <c r="F30" s="2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20"/>
      <c r="B31" s="20"/>
      <c r="C31" s="20"/>
      <c r="D31" s="20"/>
      <c r="E31" s="20"/>
      <c r="F31" s="2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20"/>
      <c r="B32" s="20"/>
      <c r="C32" s="20"/>
      <c r="D32" s="20"/>
      <c r="E32" s="20"/>
      <c r="F32" s="2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20"/>
      <c r="B33" s="20"/>
      <c r="C33" s="20"/>
      <c r="D33" s="20"/>
      <c r="E33" s="20"/>
      <c r="F33" s="2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20"/>
      <c r="B34" s="20"/>
      <c r="C34" s="20"/>
      <c r="D34" s="20"/>
      <c r="E34" s="20"/>
      <c r="F34" s="2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20"/>
      <c r="B35" s="20"/>
      <c r="C35" s="20"/>
      <c r="D35" s="20"/>
      <c r="E35" s="20"/>
      <c r="F35" s="2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20"/>
      <c r="B36" s="20"/>
      <c r="C36" s="20"/>
      <c r="D36" s="20"/>
      <c r="E36" s="20"/>
      <c r="F36" s="2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20"/>
      <c r="B37" s="20"/>
      <c r="C37" s="20"/>
      <c r="D37" s="20"/>
      <c r="E37" s="20"/>
      <c r="F37" s="2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20"/>
      <c r="B38" s="20"/>
      <c r="C38" s="20"/>
      <c r="D38" s="20"/>
      <c r="E38" s="20"/>
      <c r="F38" s="2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20"/>
      <c r="B39" s="20"/>
      <c r="C39" s="20"/>
      <c r="D39" s="20"/>
      <c r="E39" s="20"/>
      <c r="F39" s="2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20"/>
      <c r="B40" s="20"/>
      <c r="C40" s="20"/>
      <c r="D40" s="20"/>
      <c r="E40" s="20"/>
      <c r="F40" s="2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20"/>
      <c r="B41" s="20"/>
      <c r="C41" s="20"/>
      <c r="D41" s="20"/>
      <c r="E41" s="20"/>
      <c r="F41" s="2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20"/>
      <c r="B42" s="20"/>
      <c r="C42" s="20"/>
      <c r="D42" s="20"/>
      <c r="E42" s="20"/>
      <c r="F42" s="2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20"/>
      <c r="B43" s="20"/>
      <c r="C43" s="20"/>
      <c r="D43" s="20"/>
      <c r="E43" s="20"/>
      <c r="F43" s="2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20"/>
      <c r="B44" s="20"/>
      <c r="C44" s="20"/>
      <c r="D44" s="20"/>
      <c r="E44" s="20"/>
      <c r="F44" s="2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20"/>
      <c r="B45" s="20"/>
      <c r="C45" s="20"/>
      <c r="D45" s="20"/>
      <c r="E45" s="20"/>
      <c r="F45" s="2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20"/>
      <c r="B46" s="20"/>
      <c r="C46" s="20"/>
      <c r="D46" s="20"/>
      <c r="E46" s="20"/>
      <c r="F46" s="2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20"/>
      <c r="B47" s="20"/>
      <c r="C47" s="20"/>
      <c r="D47" s="20"/>
      <c r="E47" s="20"/>
      <c r="F47" s="2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20"/>
      <c r="B48" s="20"/>
      <c r="C48" s="20"/>
      <c r="D48" s="20"/>
      <c r="E48" s="20"/>
      <c r="F48" s="2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20"/>
      <c r="B49" s="20"/>
      <c r="C49" s="20"/>
      <c r="D49" s="20"/>
      <c r="E49" s="20"/>
      <c r="F49" s="2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20"/>
      <c r="B50" s="20"/>
      <c r="C50" s="20"/>
      <c r="D50" s="20"/>
      <c r="E50" s="20"/>
      <c r="F50" s="2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20"/>
      <c r="B51" s="20"/>
      <c r="C51" s="20"/>
      <c r="D51" s="20"/>
      <c r="E51" s="20"/>
      <c r="F51" s="2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20"/>
      <c r="B52" s="20"/>
      <c r="C52" s="20"/>
      <c r="D52" s="20"/>
      <c r="E52" s="20"/>
      <c r="F52" s="2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20"/>
      <c r="B53" s="20"/>
      <c r="C53" s="20"/>
      <c r="D53" s="20"/>
      <c r="E53" s="20"/>
      <c r="F53" s="20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20"/>
      <c r="B54" s="20"/>
      <c r="C54" s="20"/>
      <c r="D54" s="20"/>
      <c r="E54" s="20"/>
      <c r="F54" s="20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20"/>
      <c r="B55" s="20"/>
      <c r="C55" s="20"/>
      <c r="D55" s="20"/>
      <c r="E55" s="20"/>
      <c r="F55" s="20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20"/>
      <c r="B56" s="20"/>
      <c r="C56" s="20"/>
      <c r="D56" s="20"/>
      <c r="E56" s="20"/>
      <c r="F56" s="2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20"/>
      <c r="B57" s="20"/>
      <c r="C57" s="20"/>
      <c r="D57" s="20"/>
      <c r="E57" s="20"/>
      <c r="F57" s="20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20"/>
      <c r="B58" s="20"/>
      <c r="C58" s="20"/>
      <c r="D58" s="20"/>
      <c r="E58" s="20"/>
      <c r="F58" s="20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20"/>
      <c r="B59" s="20"/>
      <c r="C59" s="20"/>
      <c r="D59" s="20"/>
      <c r="E59" s="20"/>
      <c r="F59" s="2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20"/>
      <c r="B60" s="20"/>
      <c r="C60" s="20"/>
      <c r="D60" s="20"/>
      <c r="E60" s="20"/>
      <c r="F60" s="2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20"/>
      <c r="B61" s="20"/>
      <c r="C61" s="20"/>
      <c r="D61" s="20"/>
      <c r="E61" s="20"/>
      <c r="F61" s="2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20"/>
      <c r="B62" s="20"/>
      <c r="C62" s="20"/>
      <c r="D62" s="20"/>
      <c r="E62" s="20"/>
      <c r="F62" s="20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20"/>
      <c r="B63" s="20"/>
      <c r="C63" s="20"/>
      <c r="D63" s="20"/>
      <c r="E63" s="20"/>
      <c r="F63" s="2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20"/>
      <c r="B64" s="20"/>
      <c r="C64" s="20"/>
      <c r="D64" s="20"/>
      <c r="E64" s="20"/>
      <c r="F64" s="2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20"/>
      <c r="B65" s="20"/>
      <c r="C65" s="20"/>
      <c r="D65" s="20"/>
      <c r="E65" s="20"/>
      <c r="F65" s="20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20"/>
      <c r="B66" s="20"/>
      <c r="C66" s="20"/>
      <c r="D66" s="20"/>
      <c r="E66" s="20"/>
      <c r="F66" s="2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20"/>
      <c r="B67" s="20"/>
      <c r="C67" s="20"/>
      <c r="D67" s="20"/>
      <c r="E67" s="20"/>
      <c r="F67" s="2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20"/>
      <c r="B68" s="20"/>
      <c r="C68" s="20"/>
      <c r="D68" s="20"/>
      <c r="E68" s="20"/>
      <c r="F68" s="2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20"/>
      <c r="B69" s="20"/>
      <c r="C69" s="20"/>
      <c r="D69" s="20"/>
      <c r="E69" s="20"/>
      <c r="F69" s="20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20"/>
      <c r="B70" s="20"/>
      <c r="C70" s="20"/>
      <c r="D70" s="20"/>
      <c r="E70" s="20"/>
      <c r="F70" s="2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20"/>
      <c r="B71" s="20"/>
      <c r="C71" s="20"/>
      <c r="D71" s="20"/>
      <c r="E71" s="20"/>
      <c r="F71" s="20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20"/>
      <c r="B72" s="20"/>
      <c r="C72" s="20"/>
      <c r="D72" s="20"/>
      <c r="E72" s="20"/>
      <c r="F72" s="2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20"/>
      <c r="B73" s="20"/>
      <c r="C73" s="20"/>
      <c r="D73" s="20"/>
      <c r="E73" s="20"/>
      <c r="F73" s="2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20"/>
      <c r="B74" s="20"/>
      <c r="C74" s="20"/>
      <c r="D74" s="20"/>
      <c r="E74" s="20"/>
      <c r="F74" s="20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20"/>
      <c r="B75" s="20"/>
      <c r="C75" s="20"/>
      <c r="D75" s="20"/>
      <c r="E75" s="20"/>
      <c r="F75" s="2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20"/>
      <c r="B76" s="20"/>
      <c r="C76" s="20"/>
      <c r="D76" s="20"/>
      <c r="E76" s="20"/>
      <c r="F76" s="2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20"/>
      <c r="B77" s="20"/>
      <c r="C77" s="20"/>
      <c r="D77" s="20"/>
      <c r="E77" s="20"/>
      <c r="F77" s="2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20"/>
      <c r="B78" s="20"/>
      <c r="C78" s="20"/>
      <c r="D78" s="20"/>
      <c r="E78" s="20"/>
      <c r="F78" s="2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20"/>
      <c r="B79" s="20"/>
      <c r="C79" s="20"/>
      <c r="D79" s="20"/>
      <c r="E79" s="20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20"/>
      <c r="B80" s="20"/>
      <c r="C80" s="20"/>
      <c r="D80" s="20"/>
      <c r="E80" s="20"/>
      <c r="F80" s="2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20"/>
      <c r="B81" s="20"/>
      <c r="C81" s="20"/>
      <c r="D81" s="20"/>
      <c r="E81" s="20"/>
      <c r="F81" s="2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F$8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82C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3" width="23.5"/>
    <col customWidth="1" min="4" max="4" width="49.25"/>
    <col customWidth="1" min="5" max="5" width="10.38"/>
    <col customWidth="1" min="6" max="6" width="17.13"/>
    <col customWidth="1" min="7" max="7" width="10.0"/>
    <col customWidth="1" min="8" max="8" width="9.63"/>
    <col customWidth="1" min="9" max="9" width="23.75"/>
    <col customWidth="1" min="10" max="10" width="63.5"/>
    <col customWidth="1" min="11" max="11" width="36.5"/>
    <col customWidth="1" min="12" max="12" width="19.25"/>
    <col customWidth="1" min="13" max="13" width="22.0"/>
    <col customWidth="1" min="14" max="14" width="23.5"/>
    <col customWidth="1" min="15" max="15" width="12.13"/>
  </cols>
  <sheetData>
    <row r="1" ht="27.0" customHeight="1">
      <c r="A1" s="1" t="s">
        <v>1564</v>
      </c>
      <c r="B1" s="1" t="s">
        <v>1565</v>
      </c>
      <c r="C1" s="1" t="s">
        <v>1566</v>
      </c>
      <c r="D1" s="1" t="s">
        <v>23</v>
      </c>
      <c r="E1" s="1" t="s">
        <v>1567</v>
      </c>
      <c r="F1" s="1" t="s">
        <v>1568</v>
      </c>
      <c r="G1" s="22" t="s">
        <v>1569</v>
      </c>
      <c r="H1" s="22" t="s">
        <v>1570</v>
      </c>
      <c r="I1" s="22" t="s">
        <v>1571</v>
      </c>
      <c r="J1" s="22" t="s">
        <v>1572</v>
      </c>
      <c r="K1" s="22" t="s">
        <v>1573</v>
      </c>
      <c r="L1" s="22" t="s">
        <v>1574</v>
      </c>
      <c r="M1" s="22" t="s">
        <v>1575</v>
      </c>
      <c r="N1" s="22" t="s">
        <v>1576</v>
      </c>
      <c r="O1" s="22" t="s">
        <v>1577</v>
      </c>
    </row>
    <row r="2" ht="18.0" customHeight="1">
      <c r="A2" s="9" t="s">
        <v>1578</v>
      </c>
      <c r="B2" s="9" t="s">
        <v>0</v>
      </c>
      <c r="C2" s="9" t="s">
        <v>0</v>
      </c>
      <c r="D2" s="9" t="s">
        <v>1579</v>
      </c>
      <c r="E2" s="9" t="s">
        <v>1580</v>
      </c>
      <c r="F2" s="9" t="s">
        <v>1580</v>
      </c>
      <c r="G2" s="23" t="s">
        <v>1581</v>
      </c>
      <c r="H2" s="23" t="s">
        <v>1582</v>
      </c>
      <c r="I2" s="23" t="s">
        <v>1583</v>
      </c>
      <c r="J2" s="23" t="s">
        <v>1583</v>
      </c>
      <c r="K2" s="23" t="s">
        <v>1584</v>
      </c>
      <c r="L2" s="23" t="s">
        <v>1585</v>
      </c>
      <c r="M2" s="23" t="s">
        <v>1586</v>
      </c>
      <c r="N2" s="23" t="s">
        <v>0</v>
      </c>
      <c r="O2" s="23" t="s">
        <v>1587</v>
      </c>
    </row>
    <row r="3" ht="18.0" customHeight="1">
      <c r="A3" s="9" t="s">
        <v>1578</v>
      </c>
      <c r="B3" s="9" t="s">
        <v>2</v>
      </c>
      <c r="C3" s="9" t="s">
        <v>2</v>
      </c>
      <c r="D3" s="9" t="s">
        <v>1588</v>
      </c>
      <c r="E3" s="9" t="s">
        <v>1580</v>
      </c>
      <c r="F3" s="9" t="s">
        <v>1580</v>
      </c>
      <c r="G3" s="23" t="s">
        <v>1581</v>
      </c>
      <c r="H3" s="23" t="s">
        <v>1589</v>
      </c>
      <c r="I3" s="23" t="s">
        <v>1590</v>
      </c>
      <c r="J3" s="23" t="s">
        <v>1583</v>
      </c>
      <c r="K3" s="23" t="s">
        <v>1591</v>
      </c>
      <c r="L3" s="23" t="s">
        <v>1592</v>
      </c>
      <c r="M3" s="23" t="s">
        <v>1586</v>
      </c>
      <c r="N3" s="23" t="s">
        <v>2</v>
      </c>
      <c r="O3" s="23" t="s">
        <v>1587</v>
      </c>
    </row>
    <row r="4" ht="18.0" customHeight="1">
      <c r="A4" s="9" t="s">
        <v>1578</v>
      </c>
      <c r="B4" s="9" t="s">
        <v>3</v>
      </c>
      <c r="C4" s="9" t="s">
        <v>3</v>
      </c>
      <c r="D4" s="9" t="s">
        <v>1593</v>
      </c>
      <c r="E4" s="9" t="s">
        <v>1580</v>
      </c>
      <c r="F4" s="9" t="s">
        <v>1580</v>
      </c>
      <c r="G4" s="23" t="s">
        <v>1594</v>
      </c>
      <c r="H4" s="23" t="s">
        <v>1595</v>
      </c>
      <c r="I4" s="23" t="s">
        <v>1583</v>
      </c>
      <c r="J4" s="23" t="s">
        <v>1583</v>
      </c>
      <c r="K4" s="23" t="s">
        <v>1596</v>
      </c>
      <c r="L4" s="23" t="s">
        <v>1592</v>
      </c>
      <c r="M4" s="23" t="s">
        <v>1586</v>
      </c>
      <c r="N4" s="23" t="s">
        <v>3</v>
      </c>
      <c r="O4" s="23" t="s">
        <v>1587</v>
      </c>
    </row>
    <row r="5" ht="18.0" customHeight="1">
      <c r="A5" s="9" t="s">
        <v>1578</v>
      </c>
      <c r="B5" s="9" t="s">
        <v>4</v>
      </c>
      <c r="C5" s="9" t="s">
        <v>4</v>
      </c>
      <c r="D5" s="9" t="s">
        <v>1597</v>
      </c>
      <c r="E5" s="9" t="s">
        <v>1580</v>
      </c>
      <c r="F5" s="9" t="s">
        <v>1580</v>
      </c>
      <c r="G5" s="23" t="s">
        <v>1594</v>
      </c>
      <c r="H5" s="23" t="s">
        <v>1595</v>
      </c>
      <c r="I5" s="23" t="s">
        <v>1583</v>
      </c>
      <c r="J5" s="23" t="s">
        <v>1583</v>
      </c>
      <c r="K5" s="23" t="s">
        <v>1596</v>
      </c>
      <c r="L5" s="23" t="s">
        <v>1592</v>
      </c>
      <c r="M5" s="23" t="s">
        <v>1586</v>
      </c>
      <c r="N5" s="23" t="s">
        <v>4</v>
      </c>
      <c r="O5" s="23" t="s">
        <v>1587</v>
      </c>
    </row>
    <row r="6" ht="18.0" customHeight="1">
      <c r="A6" s="9" t="s">
        <v>1578</v>
      </c>
      <c r="B6" s="9" t="s">
        <v>5</v>
      </c>
      <c r="C6" s="9" t="s">
        <v>5</v>
      </c>
      <c r="D6" s="9" t="s">
        <v>1598</v>
      </c>
      <c r="E6" s="9" t="s">
        <v>1580</v>
      </c>
      <c r="F6" s="9" t="s">
        <v>1580</v>
      </c>
      <c r="G6" s="23" t="s">
        <v>1594</v>
      </c>
      <c r="H6" s="23" t="s">
        <v>1595</v>
      </c>
      <c r="I6" s="23" t="s">
        <v>1583</v>
      </c>
      <c r="J6" s="23" t="s">
        <v>1583</v>
      </c>
      <c r="K6" s="23" t="s">
        <v>1596</v>
      </c>
      <c r="L6" s="23" t="s">
        <v>1592</v>
      </c>
      <c r="M6" s="23" t="s">
        <v>1586</v>
      </c>
      <c r="N6" s="23" t="s">
        <v>5</v>
      </c>
      <c r="O6" s="23" t="s">
        <v>1587</v>
      </c>
    </row>
    <row r="7" ht="18.0" customHeight="1">
      <c r="A7" s="9" t="s">
        <v>1578</v>
      </c>
      <c r="B7" s="9" t="s">
        <v>6</v>
      </c>
      <c r="C7" s="9" t="s">
        <v>6</v>
      </c>
      <c r="D7" s="9" t="s">
        <v>1599</v>
      </c>
      <c r="E7" s="9" t="s">
        <v>1580</v>
      </c>
      <c r="F7" s="9" t="s">
        <v>1580</v>
      </c>
      <c r="G7" s="23" t="s">
        <v>1594</v>
      </c>
      <c r="H7" s="23" t="s">
        <v>1595</v>
      </c>
      <c r="I7" s="23" t="s">
        <v>1583</v>
      </c>
      <c r="J7" s="23" t="s">
        <v>1583</v>
      </c>
      <c r="K7" s="23" t="s">
        <v>1596</v>
      </c>
      <c r="L7" s="23" t="s">
        <v>1592</v>
      </c>
      <c r="M7" s="23" t="s">
        <v>1586</v>
      </c>
      <c r="N7" s="23" t="s">
        <v>6</v>
      </c>
      <c r="O7" s="23" t="s">
        <v>1587</v>
      </c>
    </row>
    <row r="8" ht="18.0" customHeight="1">
      <c r="A8" s="9" t="s">
        <v>1578</v>
      </c>
      <c r="B8" s="9" t="s">
        <v>8</v>
      </c>
      <c r="C8" s="9" t="s">
        <v>8</v>
      </c>
      <c r="D8" s="9" t="s">
        <v>1600</v>
      </c>
      <c r="E8" s="9" t="s">
        <v>1580</v>
      </c>
      <c r="F8" s="9" t="s">
        <v>1580</v>
      </c>
      <c r="G8" s="23" t="s">
        <v>1594</v>
      </c>
      <c r="H8" s="23" t="s">
        <v>1595</v>
      </c>
      <c r="I8" s="23" t="s">
        <v>1583</v>
      </c>
      <c r="J8" s="23" t="s">
        <v>1583</v>
      </c>
      <c r="K8" s="23" t="s">
        <v>1596</v>
      </c>
      <c r="L8" s="23" t="s">
        <v>1592</v>
      </c>
      <c r="M8" s="23" t="s">
        <v>1586</v>
      </c>
      <c r="N8" s="23" t="s">
        <v>8</v>
      </c>
      <c r="O8" s="23" t="s">
        <v>1587</v>
      </c>
    </row>
    <row r="9" ht="18.0" customHeight="1">
      <c r="A9" s="9" t="s">
        <v>1578</v>
      </c>
      <c r="B9" s="9" t="s">
        <v>9</v>
      </c>
      <c r="C9" s="9" t="s">
        <v>9</v>
      </c>
      <c r="D9" s="9" t="s">
        <v>1601</v>
      </c>
      <c r="E9" s="9" t="s">
        <v>1580</v>
      </c>
      <c r="F9" s="9" t="s">
        <v>1580</v>
      </c>
      <c r="G9" s="23" t="s">
        <v>1594</v>
      </c>
      <c r="H9" s="23" t="s">
        <v>1595</v>
      </c>
      <c r="I9" s="23" t="s">
        <v>1583</v>
      </c>
      <c r="J9" s="23" t="s">
        <v>1583</v>
      </c>
      <c r="K9" s="23" t="s">
        <v>1596</v>
      </c>
      <c r="L9" s="23" t="s">
        <v>1592</v>
      </c>
      <c r="M9" s="23" t="s">
        <v>1586</v>
      </c>
      <c r="N9" s="23" t="s">
        <v>9</v>
      </c>
      <c r="O9" s="23" t="s">
        <v>1587</v>
      </c>
    </row>
    <row r="10" ht="18.0" customHeight="1">
      <c r="A10" s="9" t="s">
        <v>1578</v>
      </c>
      <c r="B10" s="9" t="s">
        <v>11</v>
      </c>
      <c r="C10" s="9" t="s">
        <v>11</v>
      </c>
      <c r="D10" s="9" t="s">
        <v>1602</v>
      </c>
      <c r="E10" s="9" t="s">
        <v>1580</v>
      </c>
      <c r="F10" s="9" t="s">
        <v>1580</v>
      </c>
      <c r="G10" s="23" t="s">
        <v>1594</v>
      </c>
      <c r="H10" s="23" t="s">
        <v>1595</v>
      </c>
      <c r="I10" s="23" t="s">
        <v>1583</v>
      </c>
      <c r="J10" s="23" t="s">
        <v>1583</v>
      </c>
      <c r="K10" s="23" t="s">
        <v>1596</v>
      </c>
      <c r="L10" s="23" t="s">
        <v>1592</v>
      </c>
      <c r="M10" s="23" t="s">
        <v>1586</v>
      </c>
      <c r="N10" s="23" t="s">
        <v>11</v>
      </c>
      <c r="O10" s="23" t="s">
        <v>1587</v>
      </c>
    </row>
    <row r="11" ht="18.0" customHeight="1">
      <c r="A11" s="9" t="s">
        <v>1578</v>
      </c>
      <c r="B11" s="9" t="s">
        <v>12</v>
      </c>
      <c r="C11" s="9" t="s">
        <v>12</v>
      </c>
      <c r="D11" s="9" t="s">
        <v>1603</v>
      </c>
      <c r="E11" s="9" t="s">
        <v>1580</v>
      </c>
      <c r="F11" s="9" t="s">
        <v>1580</v>
      </c>
      <c r="G11" s="23" t="s">
        <v>1594</v>
      </c>
      <c r="H11" s="23" t="s">
        <v>1595</v>
      </c>
      <c r="I11" s="23" t="s">
        <v>1583</v>
      </c>
      <c r="J11" s="23" t="s">
        <v>1583</v>
      </c>
      <c r="K11" s="23" t="s">
        <v>1596</v>
      </c>
      <c r="L11" s="23" t="s">
        <v>1592</v>
      </c>
      <c r="M11" s="23" t="s">
        <v>1586</v>
      </c>
      <c r="N11" s="23" t="s">
        <v>12</v>
      </c>
      <c r="O11" s="23" t="s">
        <v>1587</v>
      </c>
    </row>
    <row r="12" ht="18.0" customHeight="1">
      <c r="A12" s="9" t="s">
        <v>1578</v>
      </c>
      <c r="B12" s="9" t="s">
        <v>13</v>
      </c>
      <c r="C12" s="9" t="s">
        <v>13</v>
      </c>
      <c r="D12" s="9" t="s">
        <v>1604</v>
      </c>
      <c r="E12" s="9" t="s">
        <v>1605</v>
      </c>
      <c r="F12" s="9" t="s">
        <v>1606</v>
      </c>
      <c r="G12" s="23" t="s">
        <v>1594</v>
      </c>
      <c r="H12" s="23" t="s">
        <v>1595</v>
      </c>
      <c r="I12" s="23" t="s">
        <v>1583</v>
      </c>
      <c r="J12" s="23" t="s">
        <v>1583</v>
      </c>
      <c r="K12" s="23" t="s">
        <v>1596</v>
      </c>
      <c r="L12" s="23" t="s">
        <v>1592</v>
      </c>
      <c r="M12" s="23" t="s">
        <v>1586</v>
      </c>
      <c r="N12" s="23" t="s">
        <v>13</v>
      </c>
      <c r="O12" s="23" t="s">
        <v>1587</v>
      </c>
    </row>
    <row r="13" ht="18.0" customHeight="1">
      <c r="A13" s="9" t="s">
        <v>1578</v>
      </c>
      <c r="B13" s="9" t="s">
        <v>15</v>
      </c>
      <c r="C13" s="9" t="s">
        <v>1607</v>
      </c>
      <c r="D13" s="9" t="s">
        <v>1608</v>
      </c>
      <c r="E13" s="9" t="s">
        <v>1580</v>
      </c>
      <c r="F13" s="9" t="s">
        <v>1580</v>
      </c>
      <c r="G13" s="23" t="s">
        <v>1581</v>
      </c>
      <c r="H13" s="23" t="s">
        <v>1589</v>
      </c>
      <c r="I13" s="23" t="s">
        <v>1609</v>
      </c>
      <c r="J13" s="23" t="s">
        <v>1583</v>
      </c>
      <c r="K13" s="23" t="s">
        <v>1610</v>
      </c>
      <c r="L13" s="23" t="s">
        <v>1592</v>
      </c>
      <c r="M13" s="23" t="s">
        <v>1611</v>
      </c>
      <c r="N13" s="23" t="s">
        <v>15</v>
      </c>
      <c r="O13" s="23" t="s">
        <v>1612</v>
      </c>
    </row>
    <row r="14" ht="18.0" customHeight="1">
      <c r="A14" s="9" t="s">
        <v>1578</v>
      </c>
      <c r="B14" s="9" t="s">
        <v>17</v>
      </c>
      <c r="C14" s="9" t="s">
        <v>17</v>
      </c>
      <c r="D14" s="9" t="s">
        <v>1613</v>
      </c>
      <c r="E14" s="9" t="s">
        <v>1580</v>
      </c>
      <c r="F14" s="9" t="s">
        <v>1580</v>
      </c>
      <c r="G14" s="23" t="s">
        <v>1594</v>
      </c>
      <c r="H14" s="23" t="s">
        <v>1595</v>
      </c>
      <c r="I14" s="23" t="s">
        <v>1583</v>
      </c>
      <c r="J14" s="23" t="s">
        <v>1583</v>
      </c>
      <c r="K14" s="23" t="s">
        <v>1596</v>
      </c>
      <c r="L14" s="23" t="s">
        <v>1592</v>
      </c>
      <c r="M14" s="23" t="s">
        <v>1611</v>
      </c>
      <c r="N14" s="23" t="s">
        <v>17</v>
      </c>
      <c r="O14" s="23" t="s">
        <v>1612</v>
      </c>
    </row>
    <row r="15" ht="18.0" customHeight="1">
      <c r="A15" s="9" t="s">
        <v>1578</v>
      </c>
      <c r="B15" s="9" t="s">
        <v>18</v>
      </c>
      <c r="C15" s="9" t="s">
        <v>1614</v>
      </c>
      <c r="D15" s="9" t="s">
        <v>1615</v>
      </c>
      <c r="E15" s="9" t="s">
        <v>1580</v>
      </c>
      <c r="F15" s="9" t="s">
        <v>1580</v>
      </c>
      <c r="G15" s="23" t="s">
        <v>1594</v>
      </c>
      <c r="H15" s="23" t="s">
        <v>1595</v>
      </c>
      <c r="I15" s="23" t="s">
        <v>1583</v>
      </c>
      <c r="J15" s="23" t="s">
        <v>1583</v>
      </c>
      <c r="K15" s="23" t="s">
        <v>1596</v>
      </c>
      <c r="L15" s="23" t="s">
        <v>1592</v>
      </c>
      <c r="M15" s="23" t="s">
        <v>1611</v>
      </c>
      <c r="N15" s="23" t="s">
        <v>18</v>
      </c>
      <c r="O15" s="23" t="s">
        <v>1612</v>
      </c>
    </row>
    <row r="16" ht="18.0" customHeight="1">
      <c r="A16" s="23" t="s">
        <v>1616</v>
      </c>
      <c r="B16" s="23" t="s">
        <v>1</v>
      </c>
      <c r="C16" s="23" t="s">
        <v>1</v>
      </c>
      <c r="D16" s="23" t="s">
        <v>1617</v>
      </c>
      <c r="E16" s="23" t="s">
        <v>1580</v>
      </c>
      <c r="F16" s="23" t="s">
        <v>1580</v>
      </c>
      <c r="G16" s="23" t="s">
        <v>1581</v>
      </c>
      <c r="H16" s="23" t="s">
        <v>1582</v>
      </c>
      <c r="I16" s="23" t="s">
        <v>1618</v>
      </c>
      <c r="J16" s="23" t="s">
        <v>1583</v>
      </c>
      <c r="K16" s="23" t="s">
        <v>1584</v>
      </c>
      <c r="L16" s="23" t="s">
        <v>1585</v>
      </c>
      <c r="M16" s="23" t="s">
        <v>1586</v>
      </c>
      <c r="N16" s="23" t="s">
        <v>1</v>
      </c>
      <c r="O16" s="23" t="s">
        <v>1587</v>
      </c>
    </row>
    <row r="17" ht="18.0" customHeight="1">
      <c r="A17" s="23" t="s">
        <v>1616</v>
      </c>
      <c r="B17" s="23" t="s">
        <v>7</v>
      </c>
      <c r="C17" s="23" t="s">
        <v>7</v>
      </c>
      <c r="D17" s="23" t="s">
        <v>1619</v>
      </c>
      <c r="E17" s="23" t="s">
        <v>1580</v>
      </c>
      <c r="F17" s="23" t="s">
        <v>1580</v>
      </c>
      <c r="G17" s="23" t="s">
        <v>1594</v>
      </c>
      <c r="H17" s="23" t="s">
        <v>1595</v>
      </c>
      <c r="I17" s="23" t="s">
        <v>1583</v>
      </c>
      <c r="J17" s="23" t="s">
        <v>1583</v>
      </c>
      <c r="K17" s="23" t="s">
        <v>1596</v>
      </c>
      <c r="L17" s="23" t="s">
        <v>1592</v>
      </c>
      <c r="M17" s="23" t="s">
        <v>1586</v>
      </c>
      <c r="N17" s="23" t="s">
        <v>7</v>
      </c>
      <c r="O17" s="23" t="s">
        <v>1587</v>
      </c>
    </row>
    <row r="18" ht="18.0" customHeight="1">
      <c r="A18" s="23" t="s">
        <v>1616</v>
      </c>
      <c r="B18" s="23" t="s">
        <v>10</v>
      </c>
      <c r="C18" s="23" t="s">
        <v>10</v>
      </c>
      <c r="D18" s="23" t="s">
        <v>1620</v>
      </c>
      <c r="E18" s="23" t="s">
        <v>1580</v>
      </c>
      <c r="F18" s="23" t="s">
        <v>1580</v>
      </c>
      <c r="G18" s="23" t="s">
        <v>1594</v>
      </c>
      <c r="H18" s="23" t="s">
        <v>1595</v>
      </c>
      <c r="I18" s="23" t="s">
        <v>1583</v>
      </c>
      <c r="J18" s="23" t="s">
        <v>1583</v>
      </c>
      <c r="K18" s="23" t="s">
        <v>1596</v>
      </c>
      <c r="L18" s="23" t="s">
        <v>1592</v>
      </c>
      <c r="M18" s="23" t="s">
        <v>1586</v>
      </c>
      <c r="N18" s="23" t="s">
        <v>10</v>
      </c>
      <c r="O18" s="23" t="s">
        <v>1587</v>
      </c>
    </row>
    <row r="19" ht="18.0" customHeight="1">
      <c r="A19" s="23" t="s">
        <v>1616</v>
      </c>
      <c r="B19" s="23" t="s">
        <v>14</v>
      </c>
      <c r="C19" s="23" t="s">
        <v>14</v>
      </c>
      <c r="D19" s="23" t="s">
        <v>1621</v>
      </c>
      <c r="E19" s="23" t="s">
        <v>1580</v>
      </c>
      <c r="F19" s="23" t="s">
        <v>1580</v>
      </c>
      <c r="G19" s="23" t="s">
        <v>1594</v>
      </c>
      <c r="H19" s="23" t="s">
        <v>1595</v>
      </c>
      <c r="I19" s="23" t="s">
        <v>1583</v>
      </c>
      <c r="J19" s="23" t="s">
        <v>1583</v>
      </c>
      <c r="K19" s="23" t="s">
        <v>1596</v>
      </c>
      <c r="L19" s="23" t="s">
        <v>1592</v>
      </c>
      <c r="M19" s="23" t="s">
        <v>1586</v>
      </c>
      <c r="N19" s="23" t="s">
        <v>14</v>
      </c>
      <c r="O19" s="23" t="s">
        <v>1587</v>
      </c>
    </row>
    <row r="20" ht="18.0" customHeight="1">
      <c r="A20" s="23" t="s">
        <v>1616</v>
      </c>
      <c r="B20" s="23" t="s">
        <v>16</v>
      </c>
      <c r="C20" s="23" t="s">
        <v>16</v>
      </c>
      <c r="D20" s="23" t="s">
        <v>1622</v>
      </c>
      <c r="E20" s="23" t="s">
        <v>1580</v>
      </c>
      <c r="F20" s="23" t="s">
        <v>1580</v>
      </c>
      <c r="G20" s="23" t="s">
        <v>1594</v>
      </c>
      <c r="H20" s="23" t="s">
        <v>1595</v>
      </c>
      <c r="I20" s="23" t="s">
        <v>1583</v>
      </c>
      <c r="J20" s="23" t="s">
        <v>1583</v>
      </c>
      <c r="K20" s="23" t="s">
        <v>1596</v>
      </c>
      <c r="L20" s="23" t="s">
        <v>1592</v>
      </c>
      <c r="M20" s="23" t="s">
        <v>1586</v>
      </c>
      <c r="N20" s="23" t="s">
        <v>16</v>
      </c>
      <c r="O20" s="23" t="s">
        <v>1587</v>
      </c>
    </row>
    <row r="21" ht="18.0" customHeight="1">
      <c r="A21" s="23" t="s">
        <v>1616</v>
      </c>
      <c r="B21" s="23" t="s">
        <v>19</v>
      </c>
      <c r="C21" s="23" t="s">
        <v>19</v>
      </c>
      <c r="D21" s="23" t="s">
        <v>1623</v>
      </c>
      <c r="E21" s="23" t="s">
        <v>1624</v>
      </c>
      <c r="F21" s="23" t="s">
        <v>1624</v>
      </c>
      <c r="G21" s="23" t="s">
        <v>1594</v>
      </c>
      <c r="H21" s="23" t="s">
        <v>1595</v>
      </c>
      <c r="I21" s="23" t="s">
        <v>1583</v>
      </c>
      <c r="J21" s="23" t="s">
        <v>1583</v>
      </c>
      <c r="K21" s="23" t="s">
        <v>1596</v>
      </c>
      <c r="L21" s="23" t="s">
        <v>1592</v>
      </c>
      <c r="M21" s="23" t="s">
        <v>1586</v>
      </c>
      <c r="N21" s="23" t="s">
        <v>19</v>
      </c>
      <c r="O21" s="23" t="s">
        <v>1587</v>
      </c>
    </row>
    <row r="22" ht="18.0" customHeight="1">
      <c r="A22" s="23" t="s">
        <v>1616</v>
      </c>
      <c r="B22" s="23" t="s">
        <v>20</v>
      </c>
      <c r="C22" s="23" t="s">
        <v>20</v>
      </c>
      <c r="D22" s="23" t="s">
        <v>1625</v>
      </c>
      <c r="E22" s="23" t="s">
        <v>1624</v>
      </c>
      <c r="F22" s="23" t="s">
        <v>1624</v>
      </c>
      <c r="G22" s="23" t="s">
        <v>1594</v>
      </c>
      <c r="H22" s="23" t="s">
        <v>1595</v>
      </c>
      <c r="I22" s="23" t="s">
        <v>1583</v>
      </c>
      <c r="J22" s="23" t="s">
        <v>1583</v>
      </c>
      <c r="K22" s="23" t="s">
        <v>1596</v>
      </c>
      <c r="L22" s="23" t="s">
        <v>1592</v>
      </c>
      <c r="M22" s="23" t="s">
        <v>1586</v>
      </c>
      <c r="N22" s="23" t="s">
        <v>20</v>
      </c>
      <c r="O22" s="23" t="s">
        <v>1587</v>
      </c>
    </row>
    <row r="23" ht="18.0" customHeight="1">
      <c r="A23" s="23" t="s">
        <v>1616</v>
      </c>
      <c r="B23" s="23" t="s">
        <v>21</v>
      </c>
      <c r="C23" s="23" t="s">
        <v>21</v>
      </c>
      <c r="D23" s="23" t="s">
        <v>1626</v>
      </c>
      <c r="E23" s="23" t="s">
        <v>1624</v>
      </c>
      <c r="F23" s="23" t="s">
        <v>1624</v>
      </c>
      <c r="G23" s="23" t="s">
        <v>1594</v>
      </c>
      <c r="H23" s="23" t="s">
        <v>1595</v>
      </c>
      <c r="I23" s="23" t="s">
        <v>1583</v>
      </c>
      <c r="J23" s="23" t="s">
        <v>1583</v>
      </c>
      <c r="K23" s="23" t="s">
        <v>1596</v>
      </c>
      <c r="L23" s="23" t="s">
        <v>1592</v>
      </c>
      <c r="M23" s="23" t="s">
        <v>1586</v>
      </c>
      <c r="N23" s="23" t="s">
        <v>21</v>
      </c>
      <c r="O23" s="23" t="s">
        <v>1587</v>
      </c>
    </row>
    <row r="24" ht="18.0" customHeight="1">
      <c r="A24" s="23" t="s">
        <v>1616</v>
      </c>
      <c r="B24" s="23" t="s">
        <v>22</v>
      </c>
      <c r="C24" s="23" t="s">
        <v>22</v>
      </c>
      <c r="D24" s="23" t="s">
        <v>1627</v>
      </c>
      <c r="E24" s="23" t="s">
        <v>1624</v>
      </c>
      <c r="F24" s="23" t="s">
        <v>1624</v>
      </c>
      <c r="G24" s="23" t="s">
        <v>1594</v>
      </c>
      <c r="H24" s="23" t="s">
        <v>1595</v>
      </c>
      <c r="I24" s="23" t="s">
        <v>1583</v>
      </c>
      <c r="J24" s="23" t="s">
        <v>1583</v>
      </c>
      <c r="K24" s="23" t="s">
        <v>1596</v>
      </c>
      <c r="L24" s="23" t="s">
        <v>1592</v>
      </c>
      <c r="M24" s="23" t="s">
        <v>1586</v>
      </c>
      <c r="N24" s="23" t="s">
        <v>22</v>
      </c>
      <c r="O24" s="23" t="s">
        <v>1587</v>
      </c>
    </row>
    <row r="25" ht="18.0" customHeight="1">
      <c r="A25" s="23" t="s">
        <v>1616</v>
      </c>
      <c r="B25" s="23" t="s">
        <v>23</v>
      </c>
      <c r="C25" s="23" t="s">
        <v>23</v>
      </c>
      <c r="D25" s="23" t="s">
        <v>1628</v>
      </c>
      <c r="E25" s="23" t="s">
        <v>1580</v>
      </c>
      <c r="F25" s="23" t="s">
        <v>1580</v>
      </c>
      <c r="G25" s="23" t="s">
        <v>1594</v>
      </c>
      <c r="H25" s="23" t="s">
        <v>1595</v>
      </c>
      <c r="I25" s="23" t="s">
        <v>1583</v>
      </c>
      <c r="J25" s="23" t="s">
        <v>1583</v>
      </c>
      <c r="K25" s="23" t="s">
        <v>1596</v>
      </c>
      <c r="L25" s="23" t="s">
        <v>1592</v>
      </c>
      <c r="M25" s="23" t="s">
        <v>1586</v>
      </c>
      <c r="N25" s="23" t="s">
        <v>23</v>
      </c>
      <c r="O25" s="23" t="s">
        <v>1587</v>
      </c>
    </row>
    <row r="26" ht="18.0" customHeight="1">
      <c r="A26" s="23" t="s">
        <v>1616</v>
      </c>
      <c r="B26" s="23" t="s">
        <v>24</v>
      </c>
      <c r="C26" s="23" t="s">
        <v>24</v>
      </c>
      <c r="D26" s="23" t="s">
        <v>1629</v>
      </c>
      <c r="E26" s="23" t="s">
        <v>1580</v>
      </c>
      <c r="F26" s="23" t="s">
        <v>1580</v>
      </c>
      <c r="G26" s="23" t="s">
        <v>1594</v>
      </c>
      <c r="H26" s="23" t="s">
        <v>1595</v>
      </c>
      <c r="I26" s="23" t="s">
        <v>1583</v>
      </c>
      <c r="J26" s="23" t="s">
        <v>1583</v>
      </c>
      <c r="K26" s="23" t="s">
        <v>1596</v>
      </c>
      <c r="L26" s="23" t="s">
        <v>1592</v>
      </c>
      <c r="M26" s="23" t="s">
        <v>1586</v>
      </c>
      <c r="N26" s="23" t="s">
        <v>24</v>
      </c>
      <c r="O26" s="23" t="s">
        <v>1587</v>
      </c>
    </row>
    <row r="27" ht="18.0" customHeight="1">
      <c r="A27" s="23" t="s">
        <v>1616</v>
      </c>
      <c r="B27" s="23" t="s">
        <v>25</v>
      </c>
      <c r="C27" s="23" t="s">
        <v>1630</v>
      </c>
      <c r="D27" s="23" t="s">
        <v>1631</v>
      </c>
      <c r="E27" s="23" t="s">
        <v>1624</v>
      </c>
      <c r="F27" s="23" t="s">
        <v>1632</v>
      </c>
      <c r="G27" s="23" t="s">
        <v>1581</v>
      </c>
      <c r="H27" s="23" t="s">
        <v>1595</v>
      </c>
      <c r="I27" s="23" t="s">
        <v>1583</v>
      </c>
      <c r="J27" s="23" t="s">
        <v>1633</v>
      </c>
      <c r="K27" s="23" t="s">
        <v>1634</v>
      </c>
      <c r="L27" s="23" t="s">
        <v>1635</v>
      </c>
      <c r="M27" s="23" t="s">
        <v>1636</v>
      </c>
      <c r="N27" s="24" t="s">
        <v>1637</v>
      </c>
      <c r="O27" s="23" t="s">
        <v>1638</v>
      </c>
    </row>
    <row r="28" ht="18.0" customHeight="1">
      <c r="A28" s="23" t="s">
        <v>1616</v>
      </c>
      <c r="B28" s="23" t="s">
        <v>27</v>
      </c>
      <c r="C28" s="23" t="s">
        <v>1639</v>
      </c>
      <c r="D28" s="23" t="s">
        <v>1640</v>
      </c>
      <c r="E28" s="23" t="s">
        <v>1580</v>
      </c>
      <c r="F28" s="24" t="s">
        <v>1641</v>
      </c>
      <c r="G28" s="23" t="s">
        <v>1581</v>
      </c>
      <c r="H28" s="23" t="s">
        <v>1595</v>
      </c>
      <c r="I28" s="23" t="s">
        <v>1583</v>
      </c>
      <c r="J28" s="23" t="s">
        <v>79</v>
      </c>
      <c r="K28" s="23" t="s">
        <v>1642</v>
      </c>
      <c r="L28" s="23" t="s">
        <v>1643</v>
      </c>
      <c r="M28" s="23" t="s">
        <v>1644</v>
      </c>
      <c r="N28" s="23" t="s">
        <v>79</v>
      </c>
      <c r="O28" s="23" t="s">
        <v>1645</v>
      </c>
    </row>
    <row r="29" ht="18.0" customHeight="1">
      <c r="A29" s="23" t="s">
        <v>1616</v>
      </c>
      <c r="B29" s="23" t="s">
        <v>28</v>
      </c>
      <c r="C29" s="23" t="s">
        <v>1646</v>
      </c>
      <c r="D29" s="23" t="s">
        <v>1647</v>
      </c>
      <c r="E29" s="23" t="s">
        <v>1580</v>
      </c>
      <c r="F29" s="24" t="s">
        <v>1648</v>
      </c>
      <c r="G29" s="23" t="s">
        <v>1581</v>
      </c>
      <c r="H29" s="23" t="s">
        <v>1595</v>
      </c>
      <c r="I29" s="23" t="s">
        <v>1583</v>
      </c>
      <c r="J29" s="23" t="s">
        <v>1649</v>
      </c>
      <c r="K29" s="23" t="s">
        <v>1650</v>
      </c>
      <c r="L29" s="23" t="s">
        <v>1651</v>
      </c>
      <c r="M29" s="23" t="s">
        <v>1652</v>
      </c>
      <c r="N29" s="23" t="s">
        <v>60</v>
      </c>
      <c r="O29" s="23" t="s">
        <v>1645</v>
      </c>
    </row>
    <row r="30" ht="18.0" customHeight="1">
      <c r="A30" s="23" t="s">
        <v>1653</v>
      </c>
      <c r="B30" s="23" t="s">
        <v>26</v>
      </c>
      <c r="C30" s="23" t="s">
        <v>26</v>
      </c>
      <c r="D30" s="23" t="s">
        <v>1654</v>
      </c>
      <c r="E30" s="23" t="s">
        <v>1580</v>
      </c>
      <c r="F30" s="23" t="s">
        <v>1580</v>
      </c>
      <c r="G30" s="23" t="s">
        <v>1581</v>
      </c>
      <c r="H30" s="23" t="s">
        <v>1655</v>
      </c>
      <c r="I30" s="23" t="s">
        <v>1656</v>
      </c>
      <c r="J30" s="23" t="s">
        <v>1583</v>
      </c>
      <c r="K30" s="23" t="s">
        <v>1584</v>
      </c>
      <c r="L30" s="23" t="s">
        <v>1585</v>
      </c>
      <c r="M30" s="23" t="s">
        <v>1586</v>
      </c>
      <c r="N30" s="23" t="s">
        <v>26</v>
      </c>
      <c r="O30" s="23" t="s">
        <v>1587</v>
      </c>
    </row>
    <row r="31" ht="18.0" customHeight="1">
      <c r="A31" s="23" t="s">
        <v>1653</v>
      </c>
      <c r="B31" s="23" t="s">
        <v>0</v>
      </c>
      <c r="C31" s="23" t="s">
        <v>0</v>
      </c>
      <c r="D31" s="23" t="s">
        <v>1657</v>
      </c>
      <c r="E31" s="23" t="s">
        <v>1580</v>
      </c>
      <c r="F31" s="23" t="s">
        <v>1580</v>
      </c>
      <c r="G31" s="23" t="s">
        <v>1581</v>
      </c>
      <c r="H31" s="23" t="s">
        <v>1582</v>
      </c>
      <c r="I31" s="23" t="s">
        <v>1583</v>
      </c>
      <c r="J31" s="23" t="s">
        <v>1583</v>
      </c>
      <c r="K31" s="23" t="s">
        <v>1584</v>
      </c>
      <c r="L31" s="23" t="s">
        <v>1585</v>
      </c>
      <c r="M31" s="23" t="s">
        <v>1586</v>
      </c>
      <c r="N31" s="23" t="s">
        <v>0</v>
      </c>
      <c r="O31" s="23" t="s">
        <v>1587</v>
      </c>
    </row>
    <row r="32" ht="18.0" customHeight="1">
      <c r="A32" s="23" t="s">
        <v>1653</v>
      </c>
      <c r="B32" s="23" t="s">
        <v>29</v>
      </c>
      <c r="C32" s="23" t="s">
        <v>29</v>
      </c>
      <c r="D32" s="23" t="s">
        <v>1658</v>
      </c>
      <c r="E32" s="23" t="s">
        <v>1580</v>
      </c>
      <c r="F32" s="23" t="s">
        <v>1580</v>
      </c>
      <c r="G32" s="23" t="s">
        <v>1594</v>
      </c>
      <c r="H32" s="23" t="s">
        <v>1595</v>
      </c>
      <c r="I32" s="23" t="s">
        <v>1583</v>
      </c>
      <c r="J32" s="23" t="s">
        <v>1659</v>
      </c>
      <c r="K32" s="23" t="s">
        <v>1596</v>
      </c>
      <c r="L32" s="23" t="s">
        <v>1592</v>
      </c>
      <c r="M32" s="23" t="s">
        <v>1586</v>
      </c>
      <c r="N32" s="23" t="s">
        <v>29</v>
      </c>
      <c r="O32" s="23" t="s">
        <v>1587</v>
      </c>
    </row>
    <row r="33" ht="18.0" customHeight="1">
      <c r="A33" s="23" t="s">
        <v>1653</v>
      </c>
      <c r="B33" s="23" t="s">
        <v>31</v>
      </c>
      <c r="C33" s="23" t="s">
        <v>31</v>
      </c>
      <c r="D33" s="23" t="s">
        <v>1660</v>
      </c>
      <c r="E33" s="23" t="s">
        <v>1605</v>
      </c>
      <c r="F33" s="23" t="s">
        <v>1606</v>
      </c>
      <c r="G33" s="23" t="s">
        <v>1594</v>
      </c>
      <c r="H33" s="23" t="s">
        <v>1595</v>
      </c>
      <c r="I33" s="23" t="s">
        <v>1583</v>
      </c>
      <c r="J33" s="23" t="s">
        <v>1583</v>
      </c>
      <c r="K33" s="23" t="s">
        <v>1596</v>
      </c>
      <c r="L33" s="23" t="s">
        <v>1592</v>
      </c>
      <c r="M33" s="23" t="s">
        <v>1586</v>
      </c>
      <c r="N33" s="23" t="s">
        <v>31</v>
      </c>
      <c r="O33" s="23" t="s">
        <v>1587</v>
      </c>
    </row>
    <row r="34" ht="18.0" customHeight="1">
      <c r="A34" s="23" t="s">
        <v>1653</v>
      </c>
      <c r="B34" s="23" t="s">
        <v>35</v>
      </c>
      <c r="C34" s="23" t="s">
        <v>35</v>
      </c>
      <c r="D34" s="23" t="s">
        <v>1661</v>
      </c>
      <c r="E34" s="23" t="s">
        <v>1605</v>
      </c>
      <c r="F34" s="23" t="s">
        <v>1606</v>
      </c>
      <c r="G34" s="23" t="s">
        <v>1594</v>
      </c>
      <c r="H34" s="23" t="s">
        <v>1595</v>
      </c>
      <c r="I34" s="23" t="s">
        <v>1583</v>
      </c>
      <c r="J34" s="23" t="s">
        <v>1583</v>
      </c>
      <c r="K34" s="23" t="s">
        <v>1596</v>
      </c>
      <c r="L34" s="23" t="s">
        <v>1592</v>
      </c>
      <c r="M34" s="23" t="s">
        <v>1586</v>
      </c>
      <c r="N34" s="23" t="s">
        <v>35</v>
      </c>
      <c r="O34" s="23" t="s">
        <v>1587</v>
      </c>
    </row>
    <row r="35" ht="18.0" customHeight="1">
      <c r="A35" s="23" t="s">
        <v>1653</v>
      </c>
      <c r="B35" s="23" t="s">
        <v>38</v>
      </c>
      <c r="C35" s="23" t="s">
        <v>38</v>
      </c>
      <c r="D35" s="23" t="s">
        <v>1662</v>
      </c>
      <c r="E35" s="23" t="s">
        <v>1605</v>
      </c>
      <c r="F35" s="23" t="s">
        <v>1606</v>
      </c>
      <c r="G35" s="23" t="s">
        <v>1594</v>
      </c>
      <c r="H35" s="23" t="s">
        <v>1595</v>
      </c>
      <c r="I35" s="23" t="s">
        <v>1583</v>
      </c>
      <c r="J35" s="23" t="s">
        <v>1583</v>
      </c>
      <c r="K35" s="23" t="s">
        <v>1596</v>
      </c>
      <c r="L35" s="23" t="s">
        <v>1592</v>
      </c>
      <c r="M35" s="23" t="s">
        <v>1586</v>
      </c>
      <c r="N35" s="23" t="s">
        <v>38</v>
      </c>
      <c r="O35" s="23" t="s">
        <v>1587</v>
      </c>
    </row>
    <row r="36" ht="18.0" customHeight="1">
      <c r="A36" s="23" t="s">
        <v>1653</v>
      </c>
      <c r="B36" s="23" t="s">
        <v>42</v>
      </c>
      <c r="C36" s="23" t="s">
        <v>42</v>
      </c>
      <c r="D36" s="23" t="s">
        <v>1663</v>
      </c>
      <c r="E36" s="23" t="s">
        <v>1605</v>
      </c>
      <c r="F36" s="23" t="s">
        <v>1606</v>
      </c>
      <c r="G36" s="23" t="s">
        <v>1594</v>
      </c>
      <c r="H36" s="23" t="s">
        <v>1595</v>
      </c>
      <c r="I36" s="23" t="s">
        <v>1583</v>
      </c>
      <c r="J36" s="23" t="s">
        <v>1583</v>
      </c>
      <c r="K36" s="23" t="s">
        <v>1596</v>
      </c>
      <c r="L36" s="23" t="s">
        <v>1592</v>
      </c>
      <c r="M36" s="23" t="s">
        <v>1586</v>
      </c>
      <c r="N36" s="23" t="s">
        <v>42</v>
      </c>
      <c r="O36" s="23" t="s">
        <v>1587</v>
      </c>
    </row>
    <row r="37" ht="18.0" customHeight="1">
      <c r="A37" s="23" t="s">
        <v>1653</v>
      </c>
      <c r="B37" s="23" t="s">
        <v>52</v>
      </c>
      <c r="C37" s="23" t="s">
        <v>52</v>
      </c>
      <c r="D37" s="23" t="s">
        <v>1664</v>
      </c>
      <c r="E37" s="23" t="s">
        <v>1605</v>
      </c>
      <c r="F37" s="23" t="s">
        <v>1606</v>
      </c>
      <c r="G37" s="23" t="s">
        <v>1594</v>
      </c>
      <c r="H37" s="23" t="s">
        <v>1595</v>
      </c>
      <c r="I37" s="23" t="s">
        <v>1583</v>
      </c>
      <c r="J37" s="23" t="s">
        <v>1583</v>
      </c>
      <c r="K37" s="23" t="s">
        <v>1596</v>
      </c>
      <c r="L37" s="23" t="s">
        <v>1592</v>
      </c>
      <c r="M37" s="23" t="s">
        <v>1586</v>
      </c>
      <c r="N37" s="23" t="s">
        <v>52</v>
      </c>
      <c r="O37" s="23" t="s">
        <v>1587</v>
      </c>
    </row>
    <row r="38" ht="18.0" customHeight="1">
      <c r="A38" s="23" t="s">
        <v>1653</v>
      </c>
      <c r="B38" s="23" t="s">
        <v>53</v>
      </c>
      <c r="C38" s="23" t="s">
        <v>53</v>
      </c>
      <c r="D38" s="23" t="s">
        <v>1665</v>
      </c>
      <c r="E38" s="23" t="s">
        <v>1580</v>
      </c>
      <c r="F38" s="23" t="s">
        <v>1580</v>
      </c>
      <c r="G38" s="23" t="s">
        <v>1594</v>
      </c>
      <c r="H38" s="23" t="s">
        <v>1589</v>
      </c>
      <c r="I38" s="23" t="s">
        <v>1590</v>
      </c>
      <c r="J38" s="23" t="s">
        <v>1583</v>
      </c>
      <c r="K38" s="23" t="s">
        <v>1591</v>
      </c>
      <c r="L38" s="23" t="s">
        <v>1592</v>
      </c>
      <c r="M38" s="23" t="s">
        <v>1586</v>
      </c>
      <c r="N38" s="23" t="s">
        <v>53</v>
      </c>
      <c r="O38" s="23" t="s">
        <v>1587</v>
      </c>
    </row>
    <row r="39" ht="18.0" customHeight="1">
      <c r="A39" s="23" t="s">
        <v>1653</v>
      </c>
      <c r="B39" s="23" t="s">
        <v>55</v>
      </c>
      <c r="C39" s="23" t="s">
        <v>55</v>
      </c>
      <c r="D39" s="23" t="s">
        <v>1666</v>
      </c>
      <c r="E39" s="23" t="s">
        <v>1580</v>
      </c>
      <c r="F39" s="23" t="s">
        <v>1580</v>
      </c>
      <c r="G39" s="23" t="s">
        <v>1594</v>
      </c>
      <c r="H39" s="23" t="s">
        <v>1595</v>
      </c>
      <c r="I39" s="23" t="s">
        <v>1583</v>
      </c>
      <c r="J39" s="23" t="s">
        <v>1583</v>
      </c>
      <c r="K39" s="23" t="s">
        <v>1596</v>
      </c>
      <c r="L39" s="23" t="s">
        <v>1592</v>
      </c>
      <c r="M39" s="23" t="s">
        <v>1586</v>
      </c>
      <c r="N39" s="23" t="s">
        <v>55</v>
      </c>
      <c r="O39" s="23" t="s">
        <v>1587</v>
      </c>
    </row>
    <row r="40" ht="18.0" customHeight="1">
      <c r="A40" s="23" t="s">
        <v>1653</v>
      </c>
      <c r="B40" s="23" t="s">
        <v>57</v>
      </c>
      <c r="C40" s="23" t="s">
        <v>57</v>
      </c>
      <c r="D40" s="23" t="s">
        <v>1667</v>
      </c>
      <c r="E40" s="23" t="s">
        <v>1580</v>
      </c>
      <c r="F40" s="23" t="s">
        <v>1580</v>
      </c>
      <c r="G40" s="23" t="s">
        <v>1594</v>
      </c>
      <c r="H40" s="23" t="s">
        <v>1595</v>
      </c>
      <c r="I40" s="23" t="s">
        <v>1583</v>
      </c>
      <c r="J40" s="23" t="s">
        <v>1583</v>
      </c>
      <c r="K40" s="23" t="s">
        <v>1596</v>
      </c>
      <c r="L40" s="23" t="s">
        <v>1592</v>
      </c>
      <c r="M40" s="23" t="s">
        <v>1586</v>
      </c>
      <c r="N40" s="23" t="s">
        <v>57</v>
      </c>
      <c r="O40" s="23" t="s">
        <v>1587</v>
      </c>
    </row>
    <row r="41" ht="18.0" customHeight="1">
      <c r="A41" s="23" t="s">
        <v>1653</v>
      </c>
      <c r="B41" s="23" t="s">
        <v>8</v>
      </c>
      <c r="C41" s="23" t="s">
        <v>8</v>
      </c>
      <c r="D41" s="23" t="s">
        <v>1668</v>
      </c>
      <c r="E41" s="23" t="s">
        <v>1580</v>
      </c>
      <c r="F41" s="23" t="s">
        <v>1580</v>
      </c>
      <c r="G41" s="23" t="s">
        <v>1594</v>
      </c>
      <c r="H41" s="23" t="s">
        <v>1595</v>
      </c>
      <c r="I41" s="23" t="s">
        <v>1583</v>
      </c>
      <c r="J41" s="23" t="s">
        <v>1583</v>
      </c>
      <c r="K41" s="23" t="s">
        <v>1596</v>
      </c>
      <c r="L41" s="23" t="s">
        <v>1592</v>
      </c>
      <c r="M41" s="23" t="s">
        <v>1586</v>
      </c>
      <c r="N41" s="23" t="s">
        <v>8</v>
      </c>
      <c r="O41" s="23" t="s">
        <v>1587</v>
      </c>
    </row>
    <row r="42" ht="18.0" customHeight="1">
      <c r="A42" s="23" t="s">
        <v>1653</v>
      </c>
      <c r="B42" s="23" t="s">
        <v>9</v>
      </c>
      <c r="C42" s="23" t="s">
        <v>9</v>
      </c>
      <c r="D42" s="23" t="s">
        <v>1669</v>
      </c>
      <c r="E42" s="23" t="s">
        <v>1580</v>
      </c>
      <c r="F42" s="23" t="s">
        <v>1580</v>
      </c>
      <c r="G42" s="23" t="s">
        <v>1594</v>
      </c>
      <c r="H42" s="23" t="s">
        <v>1595</v>
      </c>
      <c r="I42" s="23" t="s">
        <v>1583</v>
      </c>
      <c r="J42" s="23" t="s">
        <v>1583</v>
      </c>
      <c r="K42" s="23" t="s">
        <v>1596</v>
      </c>
      <c r="L42" s="23" t="s">
        <v>1592</v>
      </c>
      <c r="M42" s="23" t="s">
        <v>1586</v>
      </c>
      <c r="N42" s="23" t="s">
        <v>9</v>
      </c>
      <c r="O42" s="23" t="s">
        <v>1587</v>
      </c>
    </row>
    <row r="43" ht="18.0" customHeight="1">
      <c r="A43" s="23" t="s">
        <v>1653</v>
      </c>
      <c r="B43" s="23" t="s">
        <v>15</v>
      </c>
      <c r="C43" s="23" t="s">
        <v>1607</v>
      </c>
      <c r="D43" s="23" t="s">
        <v>1670</v>
      </c>
      <c r="E43" s="23" t="s">
        <v>1580</v>
      </c>
      <c r="F43" s="23" t="s">
        <v>1580</v>
      </c>
      <c r="G43" s="23" t="s">
        <v>1581</v>
      </c>
      <c r="H43" s="23" t="s">
        <v>1589</v>
      </c>
      <c r="I43" s="23" t="s">
        <v>1609</v>
      </c>
      <c r="J43" s="23" t="s">
        <v>1583</v>
      </c>
      <c r="K43" s="23" t="s">
        <v>1610</v>
      </c>
      <c r="L43" s="23" t="s">
        <v>1592</v>
      </c>
      <c r="M43" s="23" t="s">
        <v>1611</v>
      </c>
      <c r="N43" s="23" t="s">
        <v>15</v>
      </c>
      <c r="O43" s="23" t="s">
        <v>1612</v>
      </c>
    </row>
    <row r="44" ht="18.0" customHeight="1">
      <c r="A44" s="23" t="s">
        <v>1653</v>
      </c>
      <c r="B44" s="23" t="s">
        <v>61</v>
      </c>
      <c r="C44" s="23" t="s">
        <v>1671</v>
      </c>
      <c r="D44" s="23" t="s">
        <v>1672</v>
      </c>
      <c r="E44" s="23" t="s">
        <v>1624</v>
      </c>
      <c r="F44" s="23" t="s">
        <v>1624</v>
      </c>
      <c r="G44" s="23" t="s">
        <v>1594</v>
      </c>
      <c r="H44" s="23" t="s">
        <v>1595</v>
      </c>
      <c r="I44" s="23" t="s">
        <v>1583</v>
      </c>
      <c r="J44" s="23" t="s">
        <v>1583</v>
      </c>
      <c r="K44" s="23" t="s">
        <v>1596</v>
      </c>
      <c r="L44" s="23" t="s">
        <v>1592</v>
      </c>
      <c r="M44" s="23" t="s">
        <v>1611</v>
      </c>
      <c r="N44" s="23" t="s">
        <v>61</v>
      </c>
      <c r="O44" s="23" t="s">
        <v>1612</v>
      </c>
    </row>
    <row r="45" ht="18.0" customHeight="1">
      <c r="A45" s="23" t="s">
        <v>1653</v>
      </c>
      <c r="B45" s="23" t="s">
        <v>63</v>
      </c>
      <c r="C45" s="23" t="s">
        <v>1673</v>
      </c>
      <c r="D45" s="23" t="s">
        <v>1674</v>
      </c>
      <c r="E45" s="23" t="s">
        <v>1624</v>
      </c>
      <c r="F45" s="23" t="s">
        <v>1624</v>
      </c>
      <c r="G45" s="23" t="s">
        <v>1594</v>
      </c>
      <c r="H45" s="23" t="s">
        <v>1595</v>
      </c>
      <c r="I45" s="23" t="s">
        <v>1583</v>
      </c>
      <c r="J45" s="23" t="s">
        <v>1583</v>
      </c>
      <c r="K45" s="23" t="s">
        <v>1596</v>
      </c>
      <c r="L45" s="23" t="s">
        <v>1592</v>
      </c>
      <c r="M45" s="23" t="s">
        <v>1611</v>
      </c>
      <c r="N45" s="23" t="s">
        <v>63</v>
      </c>
      <c r="O45" s="23" t="s">
        <v>1612</v>
      </c>
    </row>
    <row r="46" ht="18.0" customHeight="1">
      <c r="A46" s="23" t="s">
        <v>1653</v>
      </c>
      <c r="B46" s="23" t="s">
        <v>65</v>
      </c>
      <c r="C46" s="23" t="s">
        <v>1675</v>
      </c>
      <c r="D46" s="23" t="s">
        <v>1676</v>
      </c>
      <c r="E46" s="23" t="s">
        <v>1624</v>
      </c>
      <c r="F46" s="23" t="s">
        <v>1624</v>
      </c>
      <c r="G46" s="23" t="s">
        <v>1594</v>
      </c>
      <c r="H46" s="23" t="s">
        <v>1595</v>
      </c>
      <c r="I46" s="23" t="s">
        <v>1583</v>
      </c>
      <c r="J46" s="23" t="s">
        <v>1583</v>
      </c>
      <c r="K46" s="23" t="s">
        <v>1596</v>
      </c>
      <c r="L46" s="23" t="s">
        <v>1592</v>
      </c>
      <c r="M46" s="23" t="s">
        <v>1611</v>
      </c>
      <c r="N46" s="23" t="s">
        <v>65</v>
      </c>
      <c r="O46" s="23" t="s">
        <v>1612</v>
      </c>
    </row>
    <row r="47" ht="18.0" customHeight="1">
      <c r="A47" s="23" t="s">
        <v>1653</v>
      </c>
      <c r="B47" s="23" t="s">
        <v>69</v>
      </c>
      <c r="C47" s="23" t="s">
        <v>1677</v>
      </c>
      <c r="D47" s="23" t="s">
        <v>1678</v>
      </c>
      <c r="E47" s="23" t="s">
        <v>1624</v>
      </c>
      <c r="F47" s="23" t="s">
        <v>1624</v>
      </c>
      <c r="G47" s="23" t="s">
        <v>1594</v>
      </c>
      <c r="H47" s="23" t="s">
        <v>1595</v>
      </c>
      <c r="I47" s="23" t="s">
        <v>1583</v>
      </c>
      <c r="J47" s="23" t="s">
        <v>1583</v>
      </c>
      <c r="K47" s="23" t="s">
        <v>1596</v>
      </c>
      <c r="L47" s="23" t="s">
        <v>1592</v>
      </c>
      <c r="M47" s="23" t="s">
        <v>1611</v>
      </c>
      <c r="N47" s="23" t="s">
        <v>69</v>
      </c>
      <c r="O47" s="23" t="s">
        <v>1612</v>
      </c>
    </row>
    <row r="48" ht="18.0" customHeight="1">
      <c r="A48" s="23" t="s">
        <v>1653</v>
      </c>
      <c r="B48" s="23" t="s">
        <v>27</v>
      </c>
      <c r="C48" s="23" t="s">
        <v>27</v>
      </c>
      <c r="D48" s="23" t="s">
        <v>1679</v>
      </c>
      <c r="E48" s="23" t="s">
        <v>1580</v>
      </c>
      <c r="F48" s="23" t="s">
        <v>1580</v>
      </c>
      <c r="G48" s="23" t="s">
        <v>1594</v>
      </c>
      <c r="H48" s="23" t="s">
        <v>1595</v>
      </c>
      <c r="I48" s="23" t="s">
        <v>1583</v>
      </c>
      <c r="J48" s="23" t="s">
        <v>1583</v>
      </c>
      <c r="K48" s="23" t="s">
        <v>1596</v>
      </c>
      <c r="L48" s="23" t="s">
        <v>1592</v>
      </c>
      <c r="M48" s="23" t="s">
        <v>1586</v>
      </c>
      <c r="N48" s="23" t="s">
        <v>27</v>
      </c>
      <c r="O48" s="23" t="s">
        <v>1587</v>
      </c>
    </row>
    <row r="49" ht="18.0" customHeight="1">
      <c r="A49" s="23" t="s">
        <v>1653</v>
      </c>
      <c r="B49" s="23" t="s">
        <v>75</v>
      </c>
      <c r="C49" s="23" t="s">
        <v>1680</v>
      </c>
      <c r="D49" s="23" t="s">
        <v>1681</v>
      </c>
      <c r="E49" s="23" t="s">
        <v>1580</v>
      </c>
      <c r="F49" s="23" t="s">
        <v>1580</v>
      </c>
      <c r="G49" s="23" t="s">
        <v>1594</v>
      </c>
      <c r="H49" s="23" t="s">
        <v>1595</v>
      </c>
      <c r="I49" s="23" t="s">
        <v>1583</v>
      </c>
      <c r="J49" s="23" t="s">
        <v>1682</v>
      </c>
      <c r="K49" s="23" t="s">
        <v>1596</v>
      </c>
      <c r="L49" s="23" t="s">
        <v>1592</v>
      </c>
      <c r="M49" s="23" t="s">
        <v>1611</v>
      </c>
      <c r="N49" s="23" t="s">
        <v>75</v>
      </c>
      <c r="O49" s="23" t="s">
        <v>1612</v>
      </c>
    </row>
    <row r="50" ht="18.0" customHeight="1">
      <c r="A50" s="23" t="s">
        <v>1683</v>
      </c>
      <c r="B50" s="23" t="s">
        <v>26</v>
      </c>
      <c r="C50" s="23" t="s">
        <v>26</v>
      </c>
      <c r="D50" s="23" t="s">
        <v>1684</v>
      </c>
      <c r="E50" s="23" t="s">
        <v>1580</v>
      </c>
      <c r="F50" s="23" t="s">
        <v>1580</v>
      </c>
      <c r="G50" s="23" t="s">
        <v>1581</v>
      </c>
      <c r="H50" s="23" t="s">
        <v>1655</v>
      </c>
      <c r="I50" s="23" t="s">
        <v>1656</v>
      </c>
      <c r="J50" s="23" t="s">
        <v>1583</v>
      </c>
      <c r="K50" s="23" t="s">
        <v>1584</v>
      </c>
      <c r="L50" s="23" t="s">
        <v>1585</v>
      </c>
      <c r="M50" s="23" t="s">
        <v>1586</v>
      </c>
      <c r="N50" s="23" t="s">
        <v>26</v>
      </c>
      <c r="O50" s="23" t="s">
        <v>1587</v>
      </c>
    </row>
    <row r="51" ht="18.0" customHeight="1">
      <c r="A51" s="23" t="s">
        <v>1683</v>
      </c>
      <c r="B51" s="23" t="s">
        <v>32</v>
      </c>
      <c r="C51" s="23" t="s">
        <v>32</v>
      </c>
      <c r="D51" s="23" t="s">
        <v>1685</v>
      </c>
      <c r="E51" s="23" t="s">
        <v>1580</v>
      </c>
      <c r="F51" s="23" t="s">
        <v>1580</v>
      </c>
      <c r="G51" s="23" t="s">
        <v>1581</v>
      </c>
      <c r="H51" s="23" t="s">
        <v>1595</v>
      </c>
      <c r="I51" s="23" t="s">
        <v>1583</v>
      </c>
      <c r="J51" s="23" t="s">
        <v>1583</v>
      </c>
      <c r="K51" s="23" t="s">
        <v>1596</v>
      </c>
      <c r="L51" s="23" t="s">
        <v>1592</v>
      </c>
      <c r="M51" s="23" t="s">
        <v>1586</v>
      </c>
      <c r="N51" s="23" t="s">
        <v>32</v>
      </c>
      <c r="O51" s="23" t="s">
        <v>1587</v>
      </c>
    </row>
    <row r="52" ht="18.0" customHeight="1">
      <c r="A52" s="23" t="s">
        <v>1683</v>
      </c>
      <c r="B52" s="23" t="s">
        <v>1</v>
      </c>
      <c r="C52" s="23" t="s">
        <v>1</v>
      </c>
      <c r="D52" s="23" t="s">
        <v>1686</v>
      </c>
      <c r="E52" s="23" t="s">
        <v>1580</v>
      </c>
      <c r="F52" s="23" t="s">
        <v>1580</v>
      </c>
      <c r="G52" s="23" t="s">
        <v>1581</v>
      </c>
      <c r="H52" s="23" t="s">
        <v>1582</v>
      </c>
      <c r="I52" s="23" t="s">
        <v>1618</v>
      </c>
      <c r="J52" s="23" t="s">
        <v>1583</v>
      </c>
      <c r="K52" s="23" t="s">
        <v>1584</v>
      </c>
      <c r="L52" s="23" t="s">
        <v>1585</v>
      </c>
      <c r="M52" s="23" t="s">
        <v>1586</v>
      </c>
      <c r="N52" s="23" t="s">
        <v>1</v>
      </c>
      <c r="O52" s="23" t="s">
        <v>1587</v>
      </c>
    </row>
    <row r="53" ht="18.0" customHeight="1">
      <c r="A53" s="23" t="s">
        <v>1683</v>
      </c>
      <c r="B53" s="23" t="s">
        <v>33</v>
      </c>
      <c r="C53" s="23" t="s">
        <v>33</v>
      </c>
      <c r="D53" s="23" t="s">
        <v>1687</v>
      </c>
      <c r="E53" s="23" t="s">
        <v>1580</v>
      </c>
      <c r="F53" s="23" t="s">
        <v>1580</v>
      </c>
      <c r="G53" s="23" t="s">
        <v>1581</v>
      </c>
      <c r="H53" s="23" t="s">
        <v>1582</v>
      </c>
      <c r="I53" s="23" t="s">
        <v>1688</v>
      </c>
      <c r="J53" s="23" t="s">
        <v>1583</v>
      </c>
      <c r="K53" s="23" t="s">
        <v>1584</v>
      </c>
      <c r="L53" s="23" t="s">
        <v>1585</v>
      </c>
      <c r="M53" s="23" t="s">
        <v>1586</v>
      </c>
      <c r="N53" s="23" t="s">
        <v>33</v>
      </c>
      <c r="O53" s="23" t="s">
        <v>1587</v>
      </c>
    </row>
    <row r="54" ht="18.0" customHeight="1">
      <c r="A54" s="23" t="s">
        <v>1683</v>
      </c>
      <c r="B54" s="23" t="s">
        <v>34</v>
      </c>
      <c r="C54" s="23" t="s">
        <v>34</v>
      </c>
      <c r="D54" s="23" t="s">
        <v>1689</v>
      </c>
      <c r="E54" s="23" t="s">
        <v>1605</v>
      </c>
      <c r="F54" s="23" t="s">
        <v>1606</v>
      </c>
      <c r="G54" s="23" t="s">
        <v>1594</v>
      </c>
      <c r="H54" s="23" t="s">
        <v>1595</v>
      </c>
      <c r="I54" s="23" t="s">
        <v>1583</v>
      </c>
      <c r="J54" s="23" t="s">
        <v>1583</v>
      </c>
      <c r="K54" s="23" t="s">
        <v>1596</v>
      </c>
      <c r="L54" s="23" t="s">
        <v>1592</v>
      </c>
      <c r="M54" s="23" t="s">
        <v>1586</v>
      </c>
      <c r="N54" s="23" t="s">
        <v>34</v>
      </c>
      <c r="O54" s="23" t="s">
        <v>1587</v>
      </c>
    </row>
    <row r="55" ht="18.0" customHeight="1">
      <c r="A55" s="23" t="s">
        <v>1683</v>
      </c>
      <c r="B55" s="23" t="s">
        <v>37</v>
      </c>
      <c r="C55" s="23" t="s">
        <v>37</v>
      </c>
      <c r="D55" s="23" t="s">
        <v>1690</v>
      </c>
      <c r="E55" s="23" t="s">
        <v>1624</v>
      </c>
      <c r="F55" s="23" t="s">
        <v>1624</v>
      </c>
      <c r="G55" s="23" t="s">
        <v>1594</v>
      </c>
      <c r="H55" s="23" t="s">
        <v>1595</v>
      </c>
      <c r="I55" s="23" t="s">
        <v>1583</v>
      </c>
      <c r="J55" s="23" t="s">
        <v>1583</v>
      </c>
      <c r="K55" s="23" t="s">
        <v>1596</v>
      </c>
      <c r="L55" s="23" t="s">
        <v>1592</v>
      </c>
      <c r="M55" s="23" t="s">
        <v>1586</v>
      </c>
      <c r="N55" s="23" t="s">
        <v>37</v>
      </c>
      <c r="O55" s="23" t="s">
        <v>1587</v>
      </c>
    </row>
    <row r="56" ht="18.0" customHeight="1">
      <c r="A56" s="23" t="s">
        <v>1683</v>
      </c>
      <c r="B56" s="23" t="s">
        <v>40</v>
      </c>
      <c r="C56" s="23" t="s">
        <v>40</v>
      </c>
      <c r="D56" s="23" t="s">
        <v>1691</v>
      </c>
      <c r="E56" s="23" t="s">
        <v>1624</v>
      </c>
      <c r="F56" s="23" t="s">
        <v>1624</v>
      </c>
      <c r="G56" s="23" t="s">
        <v>1594</v>
      </c>
      <c r="H56" s="23" t="s">
        <v>1595</v>
      </c>
      <c r="I56" s="23" t="s">
        <v>1583</v>
      </c>
      <c r="J56" s="23" t="s">
        <v>1583</v>
      </c>
      <c r="K56" s="23" t="s">
        <v>1596</v>
      </c>
      <c r="L56" s="23" t="s">
        <v>1592</v>
      </c>
      <c r="M56" s="23" t="s">
        <v>1586</v>
      </c>
      <c r="N56" s="23" t="s">
        <v>40</v>
      </c>
      <c r="O56" s="23" t="s">
        <v>1587</v>
      </c>
    </row>
    <row r="57" ht="18.0" customHeight="1">
      <c r="A57" s="23" t="s">
        <v>1683</v>
      </c>
      <c r="B57" s="23" t="s">
        <v>44</v>
      </c>
      <c r="C57" s="23" t="s">
        <v>44</v>
      </c>
      <c r="D57" s="23" t="s">
        <v>1692</v>
      </c>
      <c r="E57" s="23" t="s">
        <v>1624</v>
      </c>
      <c r="F57" s="23" t="s">
        <v>1624</v>
      </c>
      <c r="G57" s="23" t="s">
        <v>1594</v>
      </c>
      <c r="H57" s="23" t="s">
        <v>1595</v>
      </c>
      <c r="I57" s="23" t="s">
        <v>1583</v>
      </c>
      <c r="J57" s="23" t="s">
        <v>1583</v>
      </c>
      <c r="K57" s="23" t="s">
        <v>1596</v>
      </c>
      <c r="L57" s="23" t="s">
        <v>1592</v>
      </c>
      <c r="M57" s="23" t="s">
        <v>1586</v>
      </c>
      <c r="N57" s="23" t="s">
        <v>44</v>
      </c>
      <c r="O57" s="23" t="s">
        <v>1587</v>
      </c>
    </row>
    <row r="58" ht="18.0" customHeight="1">
      <c r="A58" s="23" t="s">
        <v>1683</v>
      </c>
      <c r="B58" s="23" t="s">
        <v>48</v>
      </c>
      <c r="C58" s="23" t="s">
        <v>48</v>
      </c>
      <c r="D58" s="23" t="s">
        <v>1693</v>
      </c>
      <c r="E58" s="23" t="s">
        <v>1624</v>
      </c>
      <c r="F58" s="23" t="s">
        <v>1624</v>
      </c>
      <c r="G58" s="23" t="s">
        <v>1594</v>
      </c>
      <c r="H58" s="23" t="s">
        <v>1595</v>
      </c>
      <c r="I58" s="23" t="s">
        <v>1583</v>
      </c>
      <c r="J58" s="23" t="s">
        <v>1583</v>
      </c>
      <c r="K58" s="23" t="s">
        <v>1596</v>
      </c>
      <c r="L58" s="23" t="s">
        <v>1592</v>
      </c>
      <c r="M58" s="23" t="s">
        <v>1586</v>
      </c>
      <c r="N58" s="23" t="s">
        <v>48</v>
      </c>
      <c r="O58" s="23" t="s">
        <v>1587</v>
      </c>
    </row>
    <row r="59" ht="18.0" customHeight="1">
      <c r="A59" s="23" t="s">
        <v>1683</v>
      </c>
      <c r="B59" s="23" t="s">
        <v>51</v>
      </c>
      <c r="C59" s="23" t="s">
        <v>51</v>
      </c>
      <c r="D59" s="23" t="s">
        <v>1694</v>
      </c>
      <c r="E59" s="23" t="s">
        <v>1580</v>
      </c>
      <c r="F59" s="23" t="s">
        <v>1580</v>
      </c>
      <c r="G59" s="23" t="s">
        <v>1594</v>
      </c>
      <c r="H59" s="23" t="s">
        <v>1582</v>
      </c>
      <c r="I59" s="23" t="s">
        <v>1583</v>
      </c>
      <c r="J59" s="23" t="s">
        <v>1583</v>
      </c>
      <c r="K59" s="23" t="s">
        <v>1584</v>
      </c>
      <c r="L59" s="23" t="s">
        <v>1585</v>
      </c>
      <c r="M59" s="23" t="s">
        <v>1586</v>
      </c>
      <c r="N59" s="23" t="s">
        <v>51</v>
      </c>
      <c r="O59" s="23" t="s">
        <v>1587</v>
      </c>
    </row>
    <row r="60" ht="18.0" customHeight="1">
      <c r="A60" s="23" t="s">
        <v>1683</v>
      </c>
      <c r="B60" s="23" t="s">
        <v>54</v>
      </c>
      <c r="C60" s="23" t="s">
        <v>54</v>
      </c>
      <c r="D60" s="23" t="s">
        <v>1695</v>
      </c>
      <c r="E60" s="23" t="s">
        <v>1624</v>
      </c>
      <c r="F60" s="23" t="s">
        <v>1624</v>
      </c>
      <c r="G60" s="23" t="s">
        <v>1594</v>
      </c>
      <c r="H60" s="23" t="s">
        <v>1595</v>
      </c>
      <c r="I60" s="23" t="s">
        <v>1583</v>
      </c>
      <c r="J60" s="23" t="s">
        <v>1583</v>
      </c>
      <c r="K60" s="23" t="s">
        <v>1596</v>
      </c>
      <c r="L60" s="23" t="s">
        <v>1592</v>
      </c>
      <c r="M60" s="23" t="s">
        <v>1611</v>
      </c>
      <c r="N60" s="23" t="s">
        <v>54</v>
      </c>
      <c r="O60" s="23" t="s">
        <v>1612</v>
      </c>
    </row>
    <row r="61" ht="18.0" customHeight="1">
      <c r="A61" s="23" t="s">
        <v>1683</v>
      </c>
      <c r="B61" s="23" t="s">
        <v>56</v>
      </c>
      <c r="C61" s="23" t="s">
        <v>56</v>
      </c>
      <c r="D61" s="23" t="s">
        <v>1696</v>
      </c>
      <c r="E61" s="23" t="s">
        <v>1624</v>
      </c>
      <c r="F61" s="23" t="s">
        <v>1624</v>
      </c>
      <c r="G61" s="23" t="s">
        <v>1594</v>
      </c>
      <c r="H61" s="23" t="s">
        <v>1595</v>
      </c>
      <c r="I61" s="23" t="s">
        <v>1583</v>
      </c>
      <c r="J61" s="23" t="s">
        <v>1583</v>
      </c>
      <c r="K61" s="23" t="s">
        <v>1596</v>
      </c>
      <c r="L61" s="23" t="s">
        <v>1592</v>
      </c>
      <c r="M61" s="23" t="s">
        <v>1611</v>
      </c>
      <c r="N61" s="23" t="s">
        <v>56</v>
      </c>
      <c r="O61" s="23" t="s">
        <v>1612</v>
      </c>
    </row>
    <row r="62" ht="18.0" customHeight="1">
      <c r="A62" s="23" t="s">
        <v>1683</v>
      </c>
      <c r="B62" s="23" t="s">
        <v>58</v>
      </c>
      <c r="C62" s="23" t="s">
        <v>58</v>
      </c>
      <c r="D62" s="23" t="s">
        <v>1697</v>
      </c>
      <c r="E62" s="23" t="s">
        <v>1624</v>
      </c>
      <c r="F62" s="23" t="s">
        <v>1624</v>
      </c>
      <c r="G62" s="23" t="s">
        <v>1594</v>
      </c>
      <c r="H62" s="23" t="s">
        <v>1595</v>
      </c>
      <c r="I62" s="23" t="s">
        <v>1583</v>
      </c>
      <c r="J62" s="23" t="s">
        <v>1583</v>
      </c>
      <c r="K62" s="23" t="s">
        <v>1596</v>
      </c>
      <c r="L62" s="23" t="s">
        <v>1592</v>
      </c>
      <c r="M62" s="23" t="s">
        <v>1611</v>
      </c>
      <c r="N62" s="23" t="s">
        <v>58</v>
      </c>
      <c r="O62" s="23" t="s">
        <v>1612</v>
      </c>
    </row>
    <row r="63" ht="18.0" customHeight="1">
      <c r="A63" s="23" t="s">
        <v>1698</v>
      </c>
      <c r="B63" s="23" t="s">
        <v>26</v>
      </c>
      <c r="C63" s="23" t="s">
        <v>26</v>
      </c>
      <c r="D63" s="23" t="s">
        <v>1699</v>
      </c>
      <c r="E63" s="23" t="s">
        <v>1580</v>
      </c>
      <c r="F63" s="23" t="s">
        <v>1580</v>
      </c>
      <c r="G63" s="23" t="s">
        <v>1581</v>
      </c>
      <c r="H63" s="23" t="s">
        <v>1655</v>
      </c>
      <c r="I63" s="23" t="s">
        <v>1656</v>
      </c>
      <c r="J63" s="23" t="s">
        <v>1583</v>
      </c>
      <c r="K63" s="23" t="s">
        <v>1584</v>
      </c>
      <c r="L63" s="23" t="s">
        <v>1585</v>
      </c>
      <c r="M63" s="23" t="s">
        <v>1586</v>
      </c>
      <c r="N63" s="23" t="s">
        <v>26</v>
      </c>
      <c r="O63" s="23" t="s">
        <v>1587</v>
      </c>
    </row>
    <row r="64" ht="18.0" customHeight="1">
      <c r="A64" s="23" t="s">
        <v>1698</v>
      </c>
      <c r="B64" s="23" t="s">
        <v>743</v>
      </c>
      <c r="C64" s="23" t="s">
        <v>743</v>
      </c>
      <c r="D64" s="23" t="s">
        <v>1700</v>
      </c>
      <c r="E64" s="23" t="s">
        <v>1580</v>
      </c>
      <c r="F64" s="23" t="s">
        <v>1580</v>
      </c>
      <c r="G64" s="23" t="s">
        <v>1594</v>
      </c>
      <c r="H64" s="23" t="s">
        <v>1595</v>
      </c>
      <c r="I64" s="23" t="s">
        <v>1583</v>
      </c>
      <c r="J64" s="23" t="s">
        <v>1583</v>
      </c>
      <c r="K64" s="23" t="s">
        <v>1596</v>
      </c>
      <c r="L64" s="23" t="s">
        <v>1592</v>
      </c>
      <c r="M64" s="23" t="s">
        <v>1586</v>
      </c>
      <c r="N64" s="23" t="s">
        <v>743</v>
      </c>
      <c r="O64" s="23" t="s">
        <v>1587</v>
      </c>
    </row>
    <row r="65" ht="18.0" customHeight="1">
      <c r="A65" s="23" t="s">
        <v>1698</v>
      </c>
      <c r="B65" s="23" t="s">
        <v>744</v>
      </c>
      <c r="C65" s="23" t="s">
        <v>744</v>
      </c>
      <c r="D65" s="23" t="s">
        <v>1701</v>
      </c>
      <c r="E65" s="23" t="s">
        <v>1580</v>
      </c>
      <c r="F65" s="23" t="s">
        <v>1580</v>
      </c>
      <c r="G65" s="23" t="s">
        <v>1594</v>
      </c>
      <c r="H65" s="23" t="s">
        <v>1595</v>
      </c>
      <c r="I65" s="23" t="s">
        <v>1583</v>
      </c>
      <c r="J65" s="23" t="s">
        <v>1583</v>
      </c>
      <c r="K65" s="23" t="s">
        <v>1596</v>
      </c>
      <c r="L65" s="23" t="s">
        <v>1592</v>
      </c>
      <c r="M65" s="23" t="s">
        <v>1586</v>
      </c>
      <c r="N65" s="23" t="s">
        <v>744</v>
      </c>
      <c r="O65" s="23" t="s">
        <v>1587</v>
      </c>
    </row>
    <row r="66" ht="18.0" customHeight="1">
      <c r="A66" s="23" t="s">
        <v>1698</v>
      </c>
      <c r="B66" s="23" t="s">
        <v>745</v>
      </c>
      <c r="C66" s="23" t="s">
        <v>745</v>
      </c>
      <c r="D66" s="23" t="s">
        <v>1702</v>
      </c>
      <c r="E66" s="23" t="s">
        <v>1624</v>
      </c>
      <c r="F66" s="23" t="s">
        <v>1624</v>
      </c>
      <c r="G66" s="23" t="s">
        <v>1594</v>
      </c>
      <c r="H66" s="23" t="s">
        <v>1595</v>
      </c>
      <c r="I66" s="23" t="s">
        <v>1583</v>
      </c>
      <c r="J66" s="23" t="s">
        <v>1583</v>
      </c>
      <c r="K66" s="23" t="s">
        <v>1596</v>
      </c>
      <c r="L66" s="23" t="s">
        <v>1592</v>
      </c>
      <c r="M66" s="23" t="s">
        <v>1586</v>
      </c>
      <c r="N66" s="23" t="s">
        <v>745</v>
      </c>
      <c r="O66" s="23" t="s">
        <v>1587</v>
      </c>
    </row>
    <row r="67" ht="18.0" customHeight="1">
      <c r="A67" s="23" t="s">
        <v>1698</v>
      </c>
      <c r="B67" s="23" t="s">
        <v>746</v>
      </c>
      <c r="C67" s="23" t="s">
        <v>746</v>
      </c>
      <c r="D67" s="23" t="s">
        <v>1703</v>
      </c>
      <c r="E67" s="23" t="s">
        <v>1624</v>
      </c>
      <c r="F67" s="23" t="s">
        <v>1624</v>
      </c>
      <c r="G67" s="23" t="s">
        <v>1594</v>
      </c>
      <c r="H67" s="23" t="s">
        <v>1595</v>
      </c>
      <c r="I67" s="23" t="s">
        <v>1583</v>
      </c>
      <c r="J67" s="23" t="s">
        <v>1583</v>
      </c>
      <c r="K67" s="23" t="s">
        <v>1596</v>
      </c>
      <c r="L67" s="23" t="s">
        <v>1592</v>
      </c>
      <c r="M67" s="23" t="s">
        <v>1586</v>
      </c>
      <c r="N67" s="23" t="s">
        <v>746</v>
      </c>
      <c r="O67" s="23" t="s">
        <v>1587</v>
      </c>
    </row>
    <row r="68" ht="18.0" customHeight="1">
      <c r="A68" s="23" t="s">
        <v>1698</v>
      </c>
      <c r="B68" s="23" t="s">
        <v>747</v>
      </c>
      <c r="C68" s="23" t="s">
        <v>747</v>
      </c>
      <c r="D68" s="23" t="s">
        <v>1704</v>
      </c>
      <c r="E68" s="23" t="s">
        <v>1580</v>
      </c>
      <c r="F68" s="23" t="s">
        <v>1580</v>
      </c>
      <c r="G68" s="23" t="s">
        <v>1594</v>
      </c>
      <c r="H68" s="23" t="s">
        <v>1595</v>
      </c>
      <c r="I68" s="23" t="s">
        <v>1583</v>
      </c>
      <c r="J68" s="23" t="s">
        <v>1583</v>
      </c>
      <c r="K68" s="23" t="s">
        <v>1596</v>
      </c>
      <c r="L68" s="23" t="s">
        <v>1592</v>
      </c>
      <c r="M68" s="23" t="s">
        <v>1586</v>
      </c>
      <c r="N68" s="23" t="s">
        <v>747</v>
      </c>
      <c r="O68" s="23" t="s">
        <v>1587</v>
      </c>
    </row>
    <row r="69" ht="18.0" customHeight="1">
      <c r="A69" s="23" t="s">
        <v>1698</v>
      </c>
      <c r="B69" s="23" t="s">
        <v>27</v>
      </c>
      <c r="C69" s="23" t="s">
        <v>27</v>
      </c>
      <c r="D69" s="23" t="s">
        <v>1705</v>
      </c>
      <c r="E69" s="23" t="s">
        <v>1580</v>
      </c>
      <c r="F69" s="23" t="s">
        <v>1580</v>
      </c>
      <c r="G69" s="23" t="s">
        <v>1594</v>
      </c>
      <c r="H69" s="23" t="s">
        <v>1595</v>
      </c>
      <c r="I69" s="23" t="s">
        <v>1583</v>
      </c>
      <c r="J69" s="23" t="s">
        <v>1583</v>
      </c>
      <c r="K69" s="23" t="s">
        <v>1596</v>
      </c>
      <c r="L69" s="23" t="s">
        <v>1592</v>
      </c>
      <c r="M69" s="23" t="s">
        <v>1586</v>
      </c>
      <c r="N69" s="23" t="s">
        <v>27</v>
      </c>
      <c r="O69" s="23" t="s">
        <v>1587</v>
      </c>
    </row>
    <row r="70" ht="18.0" customHeight="1">
      <c r="A70" s="23" t="s">
        <v>1706</v>
      </c>
      <c r="B70" s="23" t="s">
        <v>1320</v>
      </c>
      <c r="C70" s="23" t="s">
        <v>1320</v>
      </c>
      <c r="D70" s="23" t="s">
        <v>1707</v>
      </c>
      <c r="E70" s="23" t="s">
        <v>1580</v>
      </c>
      <c r="F70" s="23" t="s">
        <v>1580</v>
      </c>
      <c r="G70" s="23" t="s">
        <v>1581</v>
      </c>
      <c r="H70" s="23" t="s">
        <v>1582</v>
      </c>
      <c r="I70" s="23" t="s">
        <v>1583</v>
      </c>
      <c r="J70" s="23" t="s">
        <v>1583</v>
      </c>
      <c r="K70" s="23" t="s">
        <v>1584</v>
      </c>
      <c r="L70" s="23" t="s">
        <v>1585</v>
      </c>
      <c r="M70" s="23" t="s">
        <v>1586</v>
      </c>
      <c r="N70" s="23" t="s">
        <v>1320</v>
      </c>
      <c r="O70" s="23" t="s">
        <v>1587</v>
      </c>
    </row>
    <row r="71" ht="18.0" customHeight="1">
      <c r="A71" s="23" t="s">
        <v>1706</v>
      </c>
      <c r="B71" s="23" t="s">
        <v>26</v>
      </c>
      <c r="C71" s="23" t="s">
        <v>26</v>
      </c>
      <c r="D71" s="23" t="s">
        <v>1708</v>
      </c>
      <c r="E71" s="23" t="s">
        <v>1580</v>
      </c>
      <c r="F71" s="23" t="s">
        <v>1580</v>
      </c>
      <c r="G71" s="23" t="s">
        <v>1581</v>
      </c>
      <c r="H71" s="23" t="s">
        <v>1655</v>
      </c>
      <c r="I71" s="23" t="s">
        <v>1656</v>
      </c>
      <c r="J71" s="23" t="s">
        <v>1583</v>
      </c>
      <c r="K71" s="23" t="s">
        <v>1584</v>
      </c>
      <c r="L71" s="23" t="s">
        <v>1585</v>
      </c>
      <c r="M71" s="23" t="s">
        <v>1586</v>
      </c>
      <c r="N71" s="23" t="s">
        <v>26</v>
      </c>
      <c r="O71" s="23" t="s">
        <v>1587</v>
      </c>
    </row>
    <row r="72" ht="18.0" customHeight="1">
      <c r="A72" s="23" t="s">
        <v>1706</v>
      </c>
      <c r="B72" s="23" t="s">
        <v>1321</v>
      </c>
      <c r="C72" s="23" t="s">
        <v>1321</v>
      </c>
      <c r="D72" s="23" t="s">
        <v>1709</v>
      </c>
      <c r="E72" s="23" t="s">
        <v>1624</v>
      </c>
      <c r="F72" s="23" t="s">
        <v>1624</v>
      </c>
      <c r="G72" s="23" t="s">
        <v>1594</v>
      </c>
      <c r="H72" s="23" t="s">
        <v>1595</v>
      </c>
      <c r="I72" s="23" t="s">
        <v>1583</v>
      </c>
      <c r="J72" s="23" t="s">
        <v>1583</v>
      </c>
      <c r="K72" s="23" t="s">
        <v>1596</v>
      </c>
      <c r="L72" s="23" t="s">
        <v>1592</v>
      </c>
      <c r="M72" s="23" t="s">
        <v>1586</v>
      </c>
      <c r="N72" s="23" t="s">
        <v>1321</v>
      </c>
      <c r="O72" s="23" t="s">
        <v>1587</v>
      </c>
    </row>
    <row r="73" ht="18.0" customHeight="1">
      <c r="A73" s="23" t="s">
        <v>1706</v>
      </c>
      <c r="B73" s="23" t="s">
        <v>1322</v>
      </c>
      <c r="C73" s="23" t="s">
        <v>1322</v>
      </c>
      <c r="D73" s="23" t="s">
        <v>1710</v>
      </c>
      <c r="E73" s="23" t="s">
        <v>1580</v>
      </c>
      <c r="F73" s="23" t="s">
        <v>1580</v>
      </c>
      <c r="G73" s="23" t="s">
        <v>1594</v>
      </c>
      <c r="H73" s="23" t="s">
        <v>1595</v>
      </c>
      <c r="I73" s="23" t="s">
        <v>1583</v>
      </c>
      <c r="J73" s="23" t="s">
        <v>1583</v>
      </c>
      <c r="K73" s="23" t="s">
        <v>1596</v>
      </c>
      <c r="L73" s="23" t="s">
        <v>1592</v>
      </c>
      <c r="M73" s="23" t="s">
        <v>1586</v>
      </c>
      <c r="N73" s="23" t="s">
        <v>1322</v>
      </c>
      <c r="O73" s="23" t="s">
        <v>1587</v>
      </c>
    </row>
    <row r="74" ht="18.0" customHeight="1">
      <c r="A74" s="23" t="s">
        <v>1706</v>
      </c>
      <c r="B74" s="23" t="s">
        <v>1323</v>
      </c>
      <c r="C74" s="23" t="s">
        <v>1323</v>
      </c>
      <c r="D74" s="23" t="s">
        <v>1711</v>
      </c>
      <c r="E74" s="23" t="s">
        <v>1580</v>
      </c>
      <c r="F74" s="23" t="s">
        <v>1580</v>
      </c>
      <c r="G74" s="23" t="s">
        <v>1594</v>
      </c>
      <c r="H74" s="23" t="s">
        <v>1595</v>
      </c>
      <c r="I74" s="23" t="s">
        <v>1583</v>
      </c>
      <c r="J74" s="23" t="s">
        <v>1583</v>
      </c>
      <c r="K74" s="23" t="s">
        <v>1596</v>
      </c>
      <c r="L74" s="23" t="s">
        <v>1592</v>
      </c>
      <c r="M74" s="23" t="s">
        <v>1586</v>
      </c>
      <c r="N74" s="23" t="s">
        <v>1323</v>
      </c>
      <c r="O74" s="23" t="s">
        <v>1587</v>
      </c>
    </row>
    <row r="75" ht="18.0" customHeight="1">
      <c r="A75" s="23" t="s">
        <v>1706</v>
      </c>
      <c r="B75" s="23" t="s">
        <v>1324</v>
      </c>
      <c r="C75" s="23" t="s">
        <v>1324</v>
      </c>
      <c r="D75" s="23" t="s">
        <v>1712</v>
      </c>
      <c r="E75" s="23" t="s">
        <v>1605</v>
      </c>
      <c r="F75" s="23" t="s">
        <v>1606</v>
      </c>
      <c r="G75" s="23" t="s">
        <v>1594</v>
      </c>
      <c r="H75" s="23" t="s">
        <v>1595</v>
      </c>
      <c r="I75" s="23" t="s">
        <v>1583</v>
      </c>
      <c r="J75" s="23" t="s">
        <v>1583</v>
      </c>
      <c r="K75" s="23" t="s">
        <v>1596</v>
      </c>
      <c r="L75" s="23" t="s">
        <v>1592</v>
      </c>
      <c r="M75" s="23" t="s">
        <v>1586</v>
      </c>
      <c r="N75" s="23" t="s">
        <v>1324</v>
      </c>
      <c r="O75" s="23" t="s">
        <v>1587</v>
      </c>
    </row>
    <row r="76" ht="18.0" customHeight="1">
      <c r="A76" s="23" t="s">
        <v>1706</v>
      </c>
      <c r="B76" s="23" t="s">
        <v>1325</v>
      </c>
      <c r="C76" s="23" t="s">
        <v>1325</v>
      </c>
      <c r="D76" s="23" t="s">
        <v>1713</v>
      </c>
      <c r="E76" s="23" t="s">
        <v>1605</v>
      </c>
      <c r="F76" s="23" t="s">
        <v>1606</v>
      </c>
      <c r="G76" s="23" t="s">
        <v>1594</v>
      </c>
      <c r="H76" s="23" t="s">
        <v>1595</v>
      </c>
      <c r="I76" s="23" t="s">
        <v>1583</v>
      </c>
      <c r="J76" s="23" t="s">
        <v>1583</v>
      </c>
      <c r="K76" s="23" t="s">
        <v>1596</v>
      </c>
      <c r="L76" s="23" t="s">
        <v>1592</v>
      </c>
      <c r="M76" s="23" t="s">
        <v>1586</v>
      </c>
      <c r="N76" s="23" t="s">
        <v>1325</v>
      </c>
      <c r="O76" s="23" t="s">
        <v>1587</v>
      </c>
    </row>
    <row r="77" ht="18.0" customHeight="1">
      <c r="A77" s="23" t="s">
        <v>1706</v>
      </c>
      <c r="B77" s="23" t="s">
        <v>53</v>
      </c>
      <c r="C77" s="23" t="s">
        <v>53</v>
      </c>
      <c r="D77" s="23" t="s">
        <v>1714</v>
      </c>
      <c r="E77" s="23" t="s">
        <v>1580</v>
      </c>
      <c r="F77" s="23" t="s">
        <v>1580</v>
      </c>
      <c r="G77" s="23" t="s">
        <v>1594</v>
      </c>
      <c r="H77" s="23" t="s">
        <v>1589</v>
      </c>
      <c r="I77" s="23" t="s">
        <v>1590</v>
      </c>
      <c r="J77" s="23" t="s">
        <v>1583</v>
      </c>
      <c r="K77" s="23" t="s">
        <v>1591</v>
      </c>
      <c r="L77" s="23" t="s">
        <v>1592</v>
      </c>
      <c r="M77" s="23" t="s">
        <v>1586</v>
      </c>
      <c r="N77" s="23" t="s">
        <v>53</v>
      </c>
      <c r="O77" s="23" t="s">
        <v>1587</v>
      </c>
    </row>
    <row r="78" ht="18.0" customHeight="1">
      <c r="A78" s="23" t="s">
        <v>1706</v>
      </c>
      <c r="B78" s="23" t="s">
        <v>1326</v>
      </c>
      <c r="C78" s="23" t="s">
        <v>1326</v>
      </c>
      <c r="D78" s="23" t="s">
        <v>1715</v>
      </c>
      <c r="E78" s="23" t="s">
        <v>1580</v>
      </c>
      <c r="F78" s="23" t="s">
        <v>1580</v>
      </c>
      <c r="G78" s="23" t="s">
        <v>1594</v>
      </c>
      <c r="H78" s="23" t="s">
        <v>1595</v>
      </c>
      <c r="I78" s="23" t="s">
        <v>1583</v>
      </c>
      <c r="J78" s="23" t="s">
        <v>1583</v>
      </c>
      <c r="K78" s="23" t="s">
        <v>1596</v>
      </c>
      <c r="L78" s="23" t="s">
        <v>1592</v>
      </c>
      <c r="M78" s="23" t="s">
        <v>1586</v>
      </c>
      <c r="N78" s="23" t="s">
        <v>1326</v>
      </c>
      <c r="O78" s="23" t="s">
        <v>1587</v>
      </c>
    </row>
    <row r="79" ht="18.0" customHeight="1">
      <c r="A79" s="23" t="s">
        <v>1716</v>
      </c>
      <c r="B79" s="23" t="s">
        <v>33</v>
      </c>
      <c r="C79" s="23" t="s">
        <v>33</v>
      </c>
      <c r="D79" s="23" t="s">
        <v>1717</v>
      </c>
      <c r="E79" s="23" t="s">
        <v>1580</v>
      </c>
      <c r="F79" s="23" t="s">
        <v>1580</v>
      </c>
      <c r="G79" s="23" t="s">
        <v>1581</v>
      </c>
      <c r="H79" s="23" t="s">
        <v>1582</v>
      </c>
      <c r="I79" s="23" t="s">
        <v>1688</v>
      </c>
      <c r="J79" s="23" t="s">
        <v>1583</v>
      </c>
      <c r="K79" s="23" t="s">
        <v>1584</v>
      </c>
      <c r="L79" s="23" t="s">
        <v>1585</v>
      </c>
      <c r="M79" s="23" t="s">
        <v>1586</v>
      </c>
      <c r="N79" s="23" t="s">
        <v>33</v>
      </c>
      <c r="O79" s="23" t="s">
        <v>1587</v>
      </c>
    </row>
    <row r="80" ht="18.0" customHeight="1">
      <c r="A80" s="23" t="s">
        <v>1716</v>
      </c>
      <c r="B80" s="23" t="s">
        <v>1525</v>
      </c>
      <c r="C80" s="23" t="s">
        <v>1525</v>
      </c>
      <c r="D80" s="23" t="s">
        <v>1718</v>
      </c>
      <c r="E80" s="23" t="s">
        <v>1580</v>
      </c>
      <c r="F80" s="23" t="s">
        <v>1580</v>
      </c>
      <c r="G80" s="23" t="s">
        <v>1594</v>
      </c>
      <c r="H80" s="23" t="s">
        <v>1595</v>
      </c>
      <c r="I80" s="23" t="s">
        <v>1583</v>
      </c>
      <c r="J80" s="23" t="s">
        <v>1583</v>
      </c>
      <c r="K80" s="23" t="s">
        <v>1596</v>
      </c>
      <c r="L80" s="23" t="s">
        <v>1592</v>
      </c>
      <c r="M80" s="23" t="s">
        <v>1586</v>
      </c>
      <c r="N80" s="23" t="s">
        <v>1525</v>
      </c>
      <c r="O80" s="23" t="s">
        <v>1587</v>
      </c>
    </row>
    <row r="81" ht="18.0" customHeight="1">
      <c r="A81" s="23" t="s">
        <v>1716</v>
      </c>
      <c r="B81" s="23" t="s">
        <v>1526</v>
      </c>
      <c r="C81" s="23" t="s">
        <v>1526</v>
      </c>
      <c r="D81" s="23" t="s">
        <v>1719</v>
      </c>
      <c r="E81" s="23" t="s">
        <v>1580</v>
      </c>
      <c r="F81" s="23" t="s">
        <v>1580</v>
      </c>
      <c r="G81" s="23" t="s">
        <v>1594</v>
      </c>
      <c r="H81" s="23" t="s">
        <v>1595</v>
      </c>
      <c r="I81" s="23" t="s">
        <v>1583</v>
      </c>
      <c r="J81" s="23" t="s">
        <v>1583</v>
      </c>
      <c r="K81" s="23" t="s">
        <v>1596</v>
      </c>
      <c r="L81" s="23" t="s">
        <v>1592</v>
      </c>
      <c r="M81" s="23" t="s">
        <v>1586</v>
      </c>
      <c r="N81" s="23" t="s">
        <v>1526</v>
      </c>
      <c r="O81" s="23" t="s">
        <v>1587</v>
      </c>
    </row>
    <row r="82" ht="18.0" customHeight="1">
      <c r="A82" s="23" t="s">
        <v>1716</v>
      </c>
      <c r="B82" s="23" t="s">
        <v>1527</v>
      </c>
      <c r="C82" s="23" t="s">
        <v>1527</v>
      </c>
      <c r="D82" s="23" t="s">
        <v>1720</v>
      </c>
      <c r="E82" s="23" t="s">
        <v>1580</v>
      </c>
      <c r="F82" s="23" t="s">
        <v>1580</v>
      </c>
      <c r="G82" s="23" t="s">
        <v>1594</v>
      </c>
      <c r="H82" s="23" t="s">
        <v>1595</v>
      </c>
      <c r="I82" s="23" t="s">
        <v>1583</v>
      </c>
      <c r="J82" s="23" t="s">
        <v>1583</v>
      </c>
      <c r="K82" s="23" t="s">
        <v>1596</v>
      </c>
      <c r="L82" s="23" t="s">
        <v>1592</v>
      </c>
      <c r="M82" s="23" t="s">
        <v>1586</v>
      </c>
      <c r="N82" s="23" t="s">
        <v>1527</v>
      </c>
      <c r="O82" s="23" t="s">
        <v>1587</v>
      </c>
    </row>
    <row r="83" ht="18.0" customHeight="1">
      <c r="A83" s="23" t="s">
        <v>1716</v>
      </c>
      <c r="B83" s="23" t="s">
        <v>8</v>
      </c>
      <c r="C83" s="23" t="s">
        <v>8</v>
      </c>
      <c r="D83" s="23" t="s">
        <v>1721</v>
      </c>
      <c r="E83" s="23" t="s">
        <v>1580</v>
      </c>
      <c r="F83" s="23" t="s">
        <v>1580</v>
      </c>
      <c r="G83" s="23" t="s">
        <v>1594</v>
      </c>
      <c r="H83" s="23" t="s">
        <v>1595</v>
      </c>
      <c r="I83" s="23" t="s">
        <v>1583</v>
      </c>
      <c r="J83" s="23" t="s">
        <v>1583</v>
      </c>
      <c r="K83" s="23" t="s">
        <v>1596</v>
      </c>
      <c r="L83" s="23" t="s">
        <v>1592</v>
      </c>
      <c r="M83" s="23" t="s">
        <v>1586</v>
      </c>
      <c r="N83" s="23" t="s">
        <v>8</v>
      </c>
      <c r="O83" s="23" t="s">
        <v>1587</v>
      </c>
    </row>
    <row r="84" ht="18.0" customHeight="1">
      <c r="A84" s="23" t="s">
        <v>1716</v>
      </c>
      <c r="B84" s="23" t="s">
        <v>1528</v>
      </c>
      <c r="C84" s="23" t="s">
        <v>1528</v>
      </c>
      <c r="D84" s="23" t="s">
        <v>1722</v>
      </c>
      <c r="E84" s="23" t="s">
        <v>1580</v>
      </c>
      <c r="F84" s="23" t="s">
        <v>1580</v>
      </c>
      <c r="G84" s="23" t="s">
        <v>1594</v>
      </c>
      <c r="H84" s="23" t="s">
        <v>1595</v>
      </c>
      <c r="I84" s="23" t="s">
        <v>1583</v>
      </c>
      <c r="J84" s="23" t="s">
        <v>1583</v>
      </c>
      <c r="K84" s="23" t="s">
        <v>1596</v>
      </c>
      <c r="L84" s="23" t="s">
        <v>1592</v>
      </c>
      <c r="M84" s="23" t="s">
        <v>1586</v>
      </c>
      <c r="N84" s="23" t="s">
        <v>1528</v>
      </c>
      <c r="O84" s="23" t="s">
        <v>1587</v>
      </c>
    </row>
    <row r="85" ht="18.0" customHeight="1">
      <c r="A85" s="23" t="s">
        <v>1723</v>
      </c>
      <c r="B85" s="23" t="s">
        <v>1537</v>
      </c>
      <c r="C85" s="23" t="s">
        <v>1537</v>
      </c>
      <c r="D85" s="23" t="s">
        <v>1724</v>
      </c>
      <c r="E85" s="23" t="s">
        <v>1580</v>
      </c>
      <c r="F85" s="23" t="s">
        <v>1580</v>
      </c>
      <c r="G85" s="23" t="s">
        <v>1594</v>
      </c>
      <c r="H85" s="23" t="s">
        <v>1595</v>
      </c>
      <c r="I85" s="23" t="s">
        <v>1583</v>
      </c>
      <c r="J85" s="23" t="s">
        <v>1583</v>
      </c>
      <c r="K85" s="23" t="s">
        <v>1596</v>
      </c>
      <c r="L85" s="23" t="s">
        <v>1592</v>
      </c>
      <c r="M85" s="23" t="s">
        <v>1586</v>
      </c>
      <c r="N85" s="23" t="s">
        <v>1537</v>
      </c>
      <c r="O85" s="23" t="s">
        <v>1587</v>
      </c>
    </row>
    <row r="86" ht="18.0" customHeight="1">
      <c r="A86" s="23" t="s">
        <v>1723</v>
      </c>
      <c r="B86" s="23" t="s">
        <v>1538</v>
      </c>
      <c r="C86" s="23" t="s">
        <v>1538</v>
      </c>
      <c r="D86" s="23" t="s">
        <v>1725</v>
      </c>
      <c r="E86" s="23" t="s">
        <v>1580</v>
      </c>
      <c r="F86" s="23" t="s">
        <v>1580</v>
      </c>
      <c r="G86" s="23" t="s">
        <v>1594</v>
      </c>
      <c r="H86" s="23" t="s">
        <v>1595</v>
      </c>
      <c r="I86" s="23" t="s">
        <v>1583</v>
      </c>
      <c r="J86" s="23" t="s">
        <v>1583</v>
      </c>
      <c r="K86" s="23" t="s">
        <v>1596</v>
      </c>
      <c r="L86" s="23" t="s">
        <v>1592</v>
      </c>
      <c r="M86" s="23" t="s">
        <v>1586</v>
      </c>
      <c r="N86" s="23" t="s">
        <v>1538</v>
      </c>
      <c r="O86" s="23" t="s">
        <v>1587</v>
      </c>
    </row>
    <row r="87" ht="18.0" customHeight="1">
      <c r="A87" s="23" t="s">
        <v>1723</v>
      </c>
      <c r="B87" s="23" t="s">
        <v>1540</v>
      </c>
      <c r="C87" s="23" t="s">
        <v>1540</v>
      </c>
      <c r="D87" s="23" t="s">
        <v>1726</v>
      </c>
      <c r="E87" s="23" t="s">
        <v>1580</v>
      </c>
      <c r="F87" s="23" t="s">
        <v>1580</v>
      </c>
      <c r="G87" s="23" t="s">
        <v>1594</v>
      </c>
      <c r="H87" s="23" t="s">
        <v>1595</v>
      </c>
      <c r="I87" s="23" t="s">
        <v>1583</v>
      </c>
      <c r="J87" s="23" t="s">
        <v>1583</v>
      </c>
      <c r="K87" s="23" t="s">
        <v>1596</v>
      </c>
      <c r="L87" s="23" t="s">
        <v>1592</v>
      </c>
      <c r="M87" s="23" t="s">
        <v>1586</v>
      </c>
      <c r="N87" s="23" t="s">
        <v>1540</v>
      </c>
      <c r="O87" s="23" t="s">
        <v>1587</v>
      </c>
    </row>
    <row r="88" ht="18.0" customHeight="1">
      <c r="A88" s="23" t="s">
        <v>1723</v>
      </c>
      <c r="B88" s="23" t="s">
        <v>1541</v>
      </c>
      <c r="C88" s="23" t="s">
        <v>1541</v>
      </c>
      <c r="D88" s="23" t="s">
        <v>1727</v>
      </c>
      <c r="E88" s="23" t="s">
        <v>1580</v>
      </c>
      <c r="F88" s="23" t="s">
        <v>1580</v>
      </c>
      <c r="G88" s="23" t="s">
        <v>1594</v>
      </c>
      <c r="H88" s="23" t="s">
        <v>1595</v>
      </c>
      <c r="I88" s="23" t="s">
        <v>1583</v>
      </c>
      <c r="J88" s="23" t="s">
        <v>1583</v>
      </c>
      <c r="K88" s="23" t="s">
        <v>1596</v>
      </c>
      <c r="L88" s="23" t="s">
        <v>1592</v>
      </c>
      <c r="M88" s="23" t="s">
        <v>1586</v>
      </c>
      <c r="N88" s="23" t="s">
        <v>1541</v>
      </c>
      <c r="O88" s="23" t="s">
        <v>1587</v>
      </c>
    </row>
    <row r="89" ht="18.0" customHeight="1">
      <c r="A89" s="23" t="s">
        <v>1723</v>
      </c>
      <c r="B89" s="23" t="s">
        <v>1542</v>
      </c>
      <c r="C89" s="23" t="s">
        <v>1542</v>
      </c>
      <c r="D89" s="23" t="s">
        <v>1728</v>
      </c>
      <c r="E89" s="23" t="s">
        <v>1580</v>
      </c>
      <c r="F89" s="23" t="s">
        <v>1580</v>
      </c>
      <c r="G89" s="23" t="s">
        <v>1594</v>
      </c>
      <c r="H89" s="23" t="s">
        <v>1595</v>
      </c>
      <c r="I89" s="23" t="s">
        <v>1583</v>
      </c>
      <c r="J89" s="23" t="s">
        <v>1583</v>
      </c>
      <c r="K89" s="23" t="s">
        <v>1596</v>
      </c>
      <c r="L89" s="23" t="s">
        <v>1592</v>
      </c>
      <c r="M89" s="23" t="s">
        <v>1586</v>
      </c>
      <c r="N89" s="23" t="s">
        <v>1542</v>
      </c>
      <c r="O89" s="23" t="s">
        <v>1587</v>
      </c>
    </row>
    <row r="90" ht="18.0" customHeight="1">
      <c r="A90" s="23" t="s">
        <v>1723</v>
      </c>
      <c r="B90" s="23" t="s">
        <v>8</v>
      </c>
      <c r="C90" s="23" t="s">
        <v>8</v>
      </c>
      <c r="D90" s="23" t="s">
        <v>1729</v>
      </c>
      <c r="E90" s="23" t="s">
        <v>1580</v>
      </c>
      <c r="F90" s="23" t="s">
        <v>1580</v>
      </c>
      <c r="G90" s="23" t="s">
        <v>1594</v>
      </c>
      <c r="H90" s="23" t="s">
        <v>1595</v>
      </c>
      <c r="I90" s="23" t="s">
        <v>1583</v>
      </c>
      <c r="J90" s="23" t="s">
        <v>1583</v>
      </c>
      <c r="K90" s="23" t="s">
        <v>1596</v>
      </c>
      <c r="L90" s="23" t="s">
        <v>1592</v>
      </c>
      <c r="M90" s="23" t="s">
        <v>1586</v>
      </c>
      <c r="N90" s="23" t="s">
        <v>8</v>
      </c>
      <c r="O90" s="23" t="s">
        <v>1587</v>
      </c>
    </row>
    <row r="91" ht="18.0" customHeight="1">
      <c r="A91" s="23" t="s">
        <v>1730</v>
      </c>
      <c r="B91" s="23" t="s">
        <v>1731</v>
      </c>
      <c r="C91" s="23" t="s">
        <v>1731</v>
      </c>
      <c r="D91" s="23" t="s">
        <v>1732</v>
      </c>
      <c r="E91" s="23" t="s">
        <v>1580</v>
      </c>
      <c r="F91" s="23" t="s">
        <v>1580</v>
      </c>
      <c r="G91" s="23" t="s">
        <v>1581</v>
      </c>
      <c r="H91" s="23" t="s">
        <v>1582</v>
      </c>
      <c r="I91" s="23" t="s">
        <v>1583</v>
      </c>
      <c r="J91" s="23" t="s">
        <v>1583</v>
      </c>
      <c r="K91" s="23" t="s">
        <v>1584</v>
      </c>
      <c r="L91" s="23" t="s">
        <v>1585</v>
      </c>
      <c r="M91" s="23" t="s">
        <v>1611</v>
      </c>
      <c r="N91" s="23" t="s">
        <v>1731</v>
      </c>
      <c r="O91" s="23" t="s">
        <v>1612</v>
      </c>
    </row>
    <row r="92" ht="18.0" customHeight="1">
      <c r="A92" s="23" t="s">
        <v>1730</v>
      </c>
      <c r="B92" s="23" t="s">
        <v>1733</v>
      </c>
      <c r="C92" s="23" t="s">
        <v>1733</v>
      </c>
      <c r="D92" s="23" t="s">
        <v>1734</v>
      </c>
      <c r="E92" s="23" t="s">
        <v>1580</v>
      </c>
      <c r="F92" s="23" t="s">
        <v>1580</v>
      </c>
      <c r="G92" s="23" t="s">
        <v>1594</v>
      </c>
      <c r="H92" s="23" t="s">
        <v>1595</v>
      </c>
      <c r="I92" s="23" t="s">
        <v>1583</v>
      </c>
      <c r="J92" s="23" t="s">
        <v>1583</v>
      </c>
      <c r="K92" s="23" t="s">
        <v>1596</v>
      </c>
      <c r="L92" s="23" t="s">
        <v>1592</v>
      </c>
      <c r="M92" s="23" t="s">
        <v>1611</v>
      </c>
      <c r="N92" s="23" t="s">
        <v>1733</v>
      </c>
      <c r="O92" s="23" t="s">
        <v>1612</v>
      </c>
    </row>
    <row r="93" ht="18.0" customHeight="1">
      <c r="A93" s="23" t="s">
        <v>1730</v>
      </c>
      <c r="B93" s="23" t="s">
        <v>1735</v>
      </c>
      <c r="C93" s="23" t="s">
        <v>1735</v>
      </c>
      <c r="D93" s="23" t="s">
        <v>1736</v>
      </c>
      <c r="E93" s="23" t="s">
        <v>1580</v>
      </c>
      <c r="F93" s="23" t="s">
        <v>1580</v>
      </c>
      <c r="G93" s="23" t="s">
        <v>1594</v>
      </c>
      <c r="H93" s="23" t="s">
        <v>1595</v>
      </c>
      <c r="I93" s="23" t="s">
        <v>1583</v>
      </c>
      <c r="J93" s="23" t="s">
        <v>1583</v>
      </c>
      <c r="K93" s="23" t="s">
        <v>1596</v>
      </c>
      <c r="L93" s="23" t="s">
        <v>1592</v>
      </c>
      <c r="M93" s="23" t="s">
        <v>1611</v>
      </c>
      <c r="N93" s="23" t="s">
        <v>1735</v>
      </c>
      <c r="O93" s="23" t="s">
        <v>1612</v>
      </c>
    </row>
    <row r="94" ht="18.0" customHeight="1">
      <c r="A94" s="23" t="s">
        <v>1730</v>
      </c>
      <c r="B94" s="23" t="s">
        <v>1737</v>
      </c>
      <c r="C94" s="23" t="s">
        <v>1737</v>
      </c>
      <c r="D94" s="23" t="s">
        <v>1738</v>
      </c>
      <c r="E94" s="23" t="s">
        <v>1580</v>
      </c>
      <c r="F94" s="23" t="s">
        <v>1580</v>
      </c>
      <c r="G94" s="23" t="s">
        <v>1594</v>
      </c>
      <c r="H94" s="23" t="s">
        <v>1595</v>
      </c>
      <c r="I94" s="23" t="s">
        <v>1583</v>
      </c>
      <c r="J94" s="23" t="s">
        <v>1583</v>
      </c>
      <c r="K94" s="23" t="s">
        <v>1596</v>
      </c>
      <c r="L94" s="23" t="s">
        <v>1592</v>
      </c>
      <c r="M94" s="23" t="s">
        <v>1611</v>
      </c>
      <c r="N94" s="23" t="s">
        <v>1737</v>
      </c>
      <c r="O94" s="23" t="s">
        <v>1612</v>
      </c>
    </row>
    <row r="95" ht="18.0" customHeight="1">
      <c r="A95" s="23" t="s">
        <v>1730</v>
      </c>
      <c r="B95" s="23" t="s">
        <v>1739</v>
      </c>
      <c r="C95" s="23" t="s">
        <v>1739</v>
      </c>
      <c r="D95" s="23" t="s">
        <v>1740</v>
      </c>
      <c r="E95" s="23" t="s">
        <v>1580</v>
      </c>
      <c r="F95" s="23" t="s">
        <v>1580</v>
      </c>
      <c r="G95" s="23" t="s">
        <v>1594</v>
      </c>
      <c r="H95" s="23" t="s">
        <v>1595</v>
      </c>
      <c r="I95" s="23" t="s">
        <v>1583</v>
      </c>
      <c r="J95" s="23" t="s">
        <v>1583</v>
      </c>
      <c r="K95" s="23" t="s">
        <v>1596</v>
      </c>
      <c r="L95" s="23" t="s">
        <v>1592</v>
      </c>
      <c r="M95" s="23" t="s">
        <v>1611</v>
      </c>
      <c r="N95" s="23" t="s">
        <v>1739</v>
      </c>
      <c r="O95" s="23" t="s">
        <v>1612</v>
      </c>
    </row>
    <row r="96" ht="18.0" customHeight="1">
      <c r="A96" s="23" t="s">
        <v>1730</v>
      </c>
      <c r="B96" s="23" t="s">
        <v>1741</v>
      </c>
      <c r="C96" s="23" t="s">
        <v>1741</v>
      </c>
      <c r="D96" s="23" t="s">
        <v>1742</v>
      </c>
      <c r="E96" s="23" t="s">
        <v>1580</v>
      </c>
      <c r="F96" s="23" t="s">
        <v>1580</v>
      </c>
      <c r="G96" s="23" t="s">
        <v>1594</v>
      </c>
      <c r="H96" s="23" t="s">
        <v>1595</v>
      </c>
      <c r="I96" s="23" t="s">
        <v>1583</v>
      </c>
      <c r="J96" s="23" t="s">
        <v>1583</v>
      </c>
      <c r="K96" s="23" t="s">
        <v>1596</v>
      </c>
      <c r="L96" s="23" t="s">
        <v>1592</v>
      </c>
      <c r="M96" s="23" t="s">
        <v>1611</v>
      </c>
      <c r="N96" s="23" t="s">
        <v>1741</v>
      </c>
      <c r="O96" s="23" t="s">
        <v>1612</v>
      </c>
    </row>
    <row r="97" ht="18.0" customHeight="1">
      <c r="A97" s="23" t="s">
        <v>1730</v>
      </c>
      <c r="B97" s="23" t="s">
        <v>1743</v>
      </c>
      <c r="C97" s="23" t="s">
        <v>1743</v>
      </c>
      <c r="D97" s="23" t="s">
        <v>1744</v>
      </c>
      <c r="E97" s="23" t="s">
        <v>1580</v>
      </c>
      <c r="F97" s="23" t="s">
        <v>1580</v>
      </c>
      <c r="G97" s="23" t="s">
        <v>1594</v>
      </c>
      <c r="H97" s="23" t="s">
        <v>1595</v>
      </c>
      <c r="I97" s="23" t="s">
        <v>1583</v>
      </c>
      <c r="J97" s="23" t="s">
        <v>1745</v>
      </c>
      <c r="K97" s="23" t="s">
        <v>1596</v>
      </c>
      <c r="L97" s="23" t="s">
        <v>1592</v>
      </c>
      <c r="M97" s="23" t="s">
        <v>1611</v>
      </c>
      <c r="N97" s="23" t="s">
        <v>1743</v>
      </c>
      <c r="O97" s="23" t="s">
        <v>1612</v>
      </c>
    </row>
    <row r="98" ht="18.0" customHeight="1">
      <c r="A98" s="23" t="s">
        <v>1730</v>
      </c>
      <c r="B98" s="23" t="s">
        <v>1746</v>
      </c>
      <c r="C98" s="23" t="s">
        <v>1746</v>
      </c>
      <c r="D98" s="23" t="s">
        <v>1747</v>
      </c>
      <c r="E98" s="23" t="s">
        <v>1605</v>
      </c>
      <c r="F98" s="23" t="s">
        <v>1606</v>
      </c>
      <c r="G98" s="23" t="s">
        <v>1594</v>
      </c>
      <c r="H98" s="23" t="s">
        <v>1595</v>
      </c>
      <c r="I98" s="23" t="s">
        <v>1583</v>
      </c>
      <c r="J98" s="23" t="s">
        <v>1583</v>
      </c>
      <c r="K98" s="23" t="s">
        <v>1596</v>
      </c>
      <c r="L98" s="23" t="s">
        <v>1592</v>
      </c>
      <c r="M98" s="23" t="s">
        <v>1611</v>
      </c>
      <c r="N98" s="23" t="s">
        <v>1746</v>
      </c>
      <c r="O98" s="23" t="s">
        <v>1612</v>
      </c>
    </row>
    <row r="99" ht="18.0" customHeight="1">
      <c r="A99" s="23" t="s">
        <v>1748</v>
      </c>
      <c r="B99" s="23" t="s">
        <v>1749</v>
      </c>
      <c r="C99" s="23" t="s">
        <v>1749</v>
      </c>
      <c r="D99" s="23" t="s">
        <v>1750</v>
      </c>
      <c r="E99" s="23" t="s">
        <v>1580</v>
      </c>
      <c r="F99" s="23" t="s">
        <v>1580</v>
      </c>
      <c r="G99" s="23" t="s">
        <v>1581</v>
      </c>
      <c r="H99" s="23" t="s">
        <v>1582</v>
      </c>
      <c r="I99" s="23" t="s">
        <v>1583</v>
      </c>
      <c r="J99" s="23" t="s">
        <v>1583</v>
      </c>
      <c r="K99" s="23" t="s">
        <v>1584</v>
      </c>
      <c r="L99" s="23" t="s">
        <v>1585</v>
      </c>
      <c r="M99" s="23" t="s">
        <v>1611</v>
      </c>
      <c r="N99" s="23" t="s">
        <v>1749</v>
      </c>
      <c r="O99" s="23" t="s">
        <v>1612</v>
      </c>
    </row>
    <row r="100" ht="18.0" customHeight="1">
      <c r="A100" s="23" t="s">
        <v>1748</v>
      </c>
      <c r="B100" s="23" t="s">
        <v>2</v>
      </c>
      <c r="C100" s="23" t="s">
        <v>2</v>
      </c>
      <c r="D100" s="23" t="s">
        <v>1751</v>
      </c>
      <c r="E100" s="23" t="s">
        <v>1580</v>
      </c>
      <c r="F100" s="23" t="s">
        <v>1580</v>
      </c>
      <c r="G100" s="23" t="s">
        <v>1581</v>
      </c>
      <c r="H100" s="23" t="s">
        <v>1589</v>
      </c>
      <c r="I100" s="23" t="s">
        <v>1590</v>
      </c>
      <c r="J100" s="23" t="s">
        <v>1583</v>
      </c>
      <c r="K100" s="23" t="s">
        <v>1591</v>
      </c>
      <c r="L100" s="23" t="s">
        <v>1592</v>
      </c>
      <c r="M100" s="23" t="s">
        <v>1611</v>
      </c>
      <c r="N100" s="23" t="s">
        <v>2</v>
      </c>
      <c r="O100" s="23" t="s">
        <v>1612</v>
      </c>
    </row>
    <row r="101" ht="18.0" customHeight="1">
      <c r="A101" s="23" t="s">
        <v>1748</v>
      </c>
      <c r="B101" s="23" t="s">
        <v>1</v>
      </c>
      <c r="C101" s="23" t="s">
        <v>1</v>
      </c>
      <c r="D101" s="23" t="s">
        <v>1752</v>
      </c>
      <c r="E101" s="23" t="s">
        <v>1580</v>
      </c>
      <c r="F101" s="23" t="s">
        <v>1580</v>
      </c>
      <c r="G101" s="23" t="s">
        <v>1581</v>
      </c>
      <c r="H101" s="23" t="s">
        <v>1582</v>
      </c>
      <c r="I101" s="23" t="s">
        <v>1618</v>
      </c>
      <c r="J101" s="23" t="s">
        <v>1583</v>
      </c>
      <c r="K101" s="23" t="s">
        <v>1584</v>
      </c>
      <c r="L101" s="23" t="s">
        <v>1585</v>
      </c>
      <c r="M101" s="23" t="s">
        <v>1611</v>
      </c>
      <c r="N101" s="23" t="s">
        <v>1</v>
      </c>
      <c r="O101" s="23" t="s">
        <v>1612</v>
      </c>
    </row>
    <row r="102" ht="18.0" customHeight="1">
      <c r="A102" s="23" t="s">
        <v>1748</v>
      </c>
      <c r="B102" s="23" t="s">
        <v>1753</v>
      </c>
      <c r="C102" s="23" t="s">
        <v>1754</v>
      </c>
      <c r="D102" s="23" t="s">
        <v>1755</v>
      </c>
      <c r="E102" s="23" t="s">
        <v>1580</v>
      </c>
      <c r="F102" s="23" t="s">
        <v>1580</v>
      </c>
      <c r="G102" s="23" t="s">
        <v>1594</v>
      </c>
      <c r="H102" s="23" t="s">
        <v>1595</v>
      </c>
      <c r="I102" s="23" t="s">
        <v>1583</v>
      </c>
      <c r="J102" s="23" t="s">
        <v>1756</v>
      </c>
      <c r="K102" s="23" t="s">
        <v>1596</v>
      </c>
      <c r="L102" s="23" t="s">
        <v>1592</v>
      </c>
      <c r="M102" s="23" t="s">
        <v>1611</v>
      </c>
      <c r="N102" s="23" t="s">
        <v>1753</v>
      </c>
      <c r="O102" s="23" t="s">
        <v>1612</v>
      </c>
    </row>
    <row r="103" ht="18.0" customHeight="1">
      <c r="A103" s="23" t="s">
        <v>1748</v>
      </c>
      <c r="B103" s="23" t="s">
        <v>1757</v>
      </c>
      <c r="C103" s="23" t="s">
        <v>1757</v>
      </c>
      <c r="D103" s="23" t="s">
        <v>1758</v>
      </c>
      <c r="E103" s="23" t="s">
        <v>1605</v>
      </c>
      <c r="F103" s="23" t="s">
        <v>1606</v>
      </c>
      <c r="G103" s="23" t="s">
        <v>1594</v>
      </c>
      <c r="H103" s="23" t="s">
        <v>1595</v>
      </c>
      <c r="I103" s="23" t="s">
        <v>1583</v>
      </c>
      <c r="J103" s="23" t="s">
        <v>1583</v>
      </c>
      <c r="K103" s="23" t="s">
        <v>1596</v>
      </c>
      <c r="L103" s="23" t="s">
        <v>1592</v>
      </c>
      <c r="M103" s="23" t="s">
        <v>1611</v>
      </c>
      <c r="N103" s="23" t="s">
        <v>1757</v>
      </c>
      <c r="O103" s="23" t="s">
        <v>1612</v>
      </c>
    </row>
    <row r="104" ht="18.0" customHeight="1">
      <c r="A104" s="23" t="s">
        <v>1748</v>
      </c>
      <c r="B104" s="23" t="s">
        <v>1759</v>
      </c>
      <c r="C104" s="23" t="s">
        <v>1759</v>
      </c>
      <c r="D104" s="23" t="s">
        <v>1760</v>
      </c>
      <c r="E104" s="23" t="s">
        <v>1580</v>
      </c>
      <c r="F104" s="23" t="s">
        <v>1580</v>
      </c>
      <c r="G104" s="23" t="s">
        <v>1594</v>
      </c>
      <c r="H104" s="23" t="s">
        <v>1595</v>
      </c>
      <c r="I104" s="23" t="s">
        <v>1583</v>
      </c>
      <c r="J104" s="23" t="s">
        <v>1583</v>
      </c>
      <c r="K104" s="23" t="s">
        <v>1596</v>
      </c>
      <c r="L104" s="23" t="s">
        <v>1592</v>
      </c>
      <c r="M104" s="23" t="s">
        <v>1611</v>
      </c>
      <c r="N104" s="23" t="s">
        <v>1759</v>
      </c>
      <c r="O104" s="23" t="s">
        <v>1612</v>
      </c>
    </row>
    <row r="105" ht="18.0" customHeight="1">
      <c r="A105" s="23" t="s">
        <v>1748</v>
      </c>
      <c r="B105" s="23" t="s">
        <v>1761</v>
      </c>
      <c r="C105" s="23" t="s">
        <v>1761</v>
      </c>
      <c r="D105" s="23" t="s">
        <v>1762</v>
      </c>
      <c r="E105" s="23" t="s">
        <v>1580</v>
      </c>
      <c r="F105" s="23" t="s">
        <v>1580</v>
      </c>
      <c r="G105" s="23" t="s">
        <v>1581</v>
      </c>
      <c r="H105" s="23" t="s">
        <v>1595</v>
      </c>
      <c r="I105" s="23" t="s">
        <v>1583</v>
      </c>
      <c r="J105" s="23" t="s">
        <v>1583</v>
      </c>
      <c r="K105" s="23" t="s">
        <v>1596</v>
      </c>
      <c r="L105" s="23" t="s">
        <v>1592</v>
      </c>
      <c r="M105" s="23" t="s">
        <v>1611</v>
      </c>
      <c r="N105" s="23" t="s">
        <v>1761</v>
      </c>
      <c r="O105" s="23" t="s">
        <v>1612</v>
      </c>
    </row>
    <row r="106" ht="18.0" customHeight="1">
      <c r="A106" s="23" t="s">
        <v>1748</v>
      </c>
      <c r="B106" s="23" t="s">
        <v>1763</v>
      </c>
      <c r="C106" s="23" t="s">
        <v>1763</v>
      </c>
      <c r="D106" s="23" t="s">
        <v>1764</v>
      </c>
      <c r="E106" s="23" t="s">
        <v>1580</v>
      </c>
      <c r="F106" s="23" t="s">
        <v>1580</v>
      </c>
      <c r="G106" s="23" t="s">
        <v>1581</v>
      </c>
      <c r="H106" s="23" t="s">
        <v>1582</v>
      </c>
      <c r="I106" s="23" t="s">
        <v>1765</v>
      </c>
      <c r="J106" s="23" t="s">
        <v>1583</v>
      </c>
      <c r="K106" s="23" t="s">
        <v>1584</v>
      </c>
      <c r="L106" s="23" t="s">
        <v>1585</v>
      </c>
      <c r="M106" s="23" t="s">
        <v>1611</v>
      </c>
      <c r="N106" s="23" t="s">
        <v>1763</v>
      </c>
      <c r="O106" s="23" t="s">
        <v>1612</v>
      </c>
    </row>
    <row r="107" ht="18.0" customHeight="1">
      <c r="A107" s="23" t="s">
        <v>1748</v>
      </c>
      <c r="B107" s="23" t="s">
        <v>1766</v>
      </c>
      <c r="C107" s="23" t="s">
        <v>1767</v>
      </c>
      <c r="D107" s="23" t="s">
        <v>1768</v>
      </c>
      <c r="E107" s="23" t="s">
        <v>1624</v>
      </c>
      <c r="F107" s="23" t="s">
        <v>1624</v>
      </c>
      <c r="G107" s="23" t="s">
        <v>1594</v>
      </c>
      <c r="H107" s="23" t="s">
        <v>1595</v>
      </c>
      <c r="I107" s="23" t="s">
        <v>1583</v>
      </c>
      <c r="J107" s="23" t="s">
        <v>1583</v>
      </c>
      <c r="K107" s="23" t="s">
        <v>1596</v>
      </c>
      <c r="L107" s="23" t="s">
        <v>1592</v>
      </c>
      <c r="M107" s="23" t="s">
        <v>1611</v>
      </c>
      <c r="N107" s="23" t="s">
        <v>1766</v>
      </c>
      <c r="O107" s="23" t="s">
        <v>1612</v>
      </c>
    </row>
    <row r="108" ht="18.0" customHeight="1">
      <c r="A108" s="23" t="s">
        <v>1748</v>
      </c>
      <c r="B108" s="23" t="s">
        <v>1769</v>
      </c>
      <c r="C108" s="23" t="s">
        <v>1769</v>
      </c>
      <c r="D108" s="23" t="s">
        <v>1770</v>
      </c>
      <c r="E108" s="23" t="s">
        <v>1580</v>
      </c>
      <c r="F108" s="23" t="s">
        <v>1580</v>
      </c>
      <c r="G108" s="23" t="s">
        <v>1594</v>
      </c>
      <c r="H108" s="23" t="s">
        <v>1595</v>
      </c>
      <c r="I108" s="23" t="s">
        <v>1583</v>
      </c>
      <c r="J108" s="23" t="s">
        <v>1583</v>
      </c>
      <c r="K108" s="23" t="s">
        <v>1596</v>
      </c>
      <c r="L108" s="23" t="s">
        <v>1592</v>
      </c>
      <c r="M108" s="23" t="s">
        <v>1611</v>
      </c>
      <c r="N108" s="23" t="s">
        <v>1769</v>
      </c>
      <c r="O108" s="23" t="s">
        <v>1612</v>
      </c>
    </row>
    <row r="109" ht="18.0" customHeight="1">
      <c r="A109" s="23" t="s">
        <v>1771</v>
      </c>
      <c r="B109" s="23" t="s">
        <v>1763</v>
      </c>
      <c r="C109" s="23" t="s">
        <v>1763</v>
      </c>
      <c r="D109" s="23" t="s">
        <v>1772</v>
      </c>
      <c r="E109" s="23" t="s">
        <v>1580</v>
      </c>
      <c r="F109" s="23" t="s">
        <v>1580</v>
      </c>
      <c r="G109" s="23" t="s">
        <v>1581</v>
      </c>
      <c r="H109" s="23" t="s">
        <v>1582</v>
      </c>
      <c r="I109" s="23" t="s">
        <v>1765</v>
      </c>
      <c r="J109" s="23" t="s">
        <v>1583</v>
      </c>
      <c r="K109" s="23" t="s">
        <v>1584</v>
      </c>
      <c r="L109" s="23" t="s">
        <v>1585</v>
      </c>
      <c r="M109" s="23" t="s">
        <v>1611</v>
      </c>
      <c r="N109" s="23" t="s">
        <v>1763</v>
      </c>
      <c r="O109" s="23" t="s">
        <v>1612</v>
      </c>
    </row>
    <row r="110" ht="18.0" customHeight="1">
      <c r="A110" s="23" t="s">
        <v>1771</v>
      </c>
      <c r="B110" s="23" t="s">
        <v>1773</v>
      </c>
      <c r="C110" s="23" t="s">
        <v>1773</v>
      </c>
      <c r="D110" s="23" t="s">
        <v>1774</v>
      </c>
      <c r="E110" s="23" t="s">
        <v>1580</v>
      </c>
      <c r="F110" s="23" t="s">
        <v>1580</v>
      </c>
      <c r="G110" s="23" t="s">
        <v>1594</v>
      </c>
      <c r="H110" s="23" t="s">
        <v>1595</v>
      </c>
      <c r="I110" s="23" t="s">
        <v>1583</v>
      </c>
      <c r="J110" s="23" t="s">
        <v>1583</v>
      </c>
      <c r="K110" s="23" t="s">
        <v>1596</v>
      </c>
      <c r="L110" s="23" t="s">
        <v>1592</v>
      </c>
      <c r="M110" s="23" t="s">
        <v>1611</v>
      </c>
      <c r="N110" s="23" t="s">
        <v>1773</v>
      </c>
      <c r="O110" s="23" t="s">
        <v>1612</v>
      </c>
    </row>
    <row r="111" ht="18.0" customHeight="1">
      <c r="A111" s="23" t="s">
        <v>1771</v>
      </c>
      <c r="B111" s="23" t="s">
        <v>1775</v>
      </c>
      <c r="C111" s="23" t="s">
        <v>1775</v>
      </c>
      <c r="D111" s="23" t="s">
        <v>1776</v>
      </c>
      <c r="E111" s="23" t="s">
        <v>1580</v>
      </c>
      <c r="F111" s="23" t="s">
        <v>1580</v>
      </c>
      <c r="G111" s="23" t="s">
        <v>1594</v>
      </c>
      <c r="H111" s="23" t="s">
        <v>1595</v>
      </c>
      <c r="I111" s="23" t="s">
        <v>1583</v>
      </c>
      <c r="J111" s="23" t="s">
        <v>1583</v>
      </c>
      <c r="K111" s="23" t="s">
        <v>1596</v>
      </c>
      <c r="L111" s="23" t="s">
        <v>1592</v>
      </c>
      <c r="M111" s="23" t="s">
        <v>1611</v>
      </c>
      <c r="N111" s="23" t="s">
        <v>1775</v>
      </c>
      <c r="O111" s="23" t="s">
        <v>1612</v>
      </c>
    </row>
    <row r="112" ht="18.0" customHeight="1">
      <c r="A112" s="23" t="s">
        <v>1771</v>
      </c>
      <c r="B112" s="23" t="s">
        <v>1746</v>
      </c>
      <c r="C112" s="23" t="s">
        <v>1746</v>
      </c>
      <c r="D112" s="23" t="s">
        <v>1777</v>
      </c>
      <c r="E112" s="23" t="s">
        <v>1605</v>
      </c>
      <c r="F112" s="23" t="s">
        <v>1606</v>
      </c>
      <c r="G112" s="23" t="s">
        <v>1594</v>
      </c>
      <c r="H112" s="23" t="s">
        <v>1595</v>
      </c>
      <c r="I112" s="23" t="s">
        <v>1583</v>
      </c>
      <c r="J112" s="23" t="s">
        <v>1583</v>
      </c>
      <c r="K112" s="23" t="s">
        <v>1596</v>
      </c>
      <c r="L112" s="23" t="s">
        <v>1592</v>
      </c>
      <c r="M112" s="23" t="s">
        <v>1611</v>
      </c>
      <c r="N112" s="23" t="s">
        <v>1746</v>
      </c>
      <c r="O112" s="23" t="s">
        <v>1612</v>
      </c>
    </row>
    <row r="113" ht="18.0" customHeight="1">
      <c r="A113" s="23" t="s">
        <v>1771</v>
      </c>
      <c r="B113" s="23" t="s">
        <v>1778</v>
      </c>
      <c r="C113" s="23" t="s">
        <v>1778</v>
      </c>
      <c r="D113" s="23" t="s">
        <v>1779</v>
      </c>
      <c r="E113" s="23" t="s">
        <v>1605</v>
      </c>
      <c r="F113" s="23" t="s">
        <v>1606</v>
      </c>
      <c r="G113" s="23" t="s">
        <v>1594</v>
      </c>
      <c r="H113" s="23" t="s">
        <v>1595</v>
      </c>
      <c r="I113" s="23" t="s">
        <v>1583</v>
      </c>
      <c r="J113" s="23" t="s">
        <v>1583</v>
      </c>
      <c r="K113" s="23" t="s">
        <v>1596</v>
      </c>
      <c r="L113" s="23" t="s">
        <v>1592</v>
      </c>
      <c r="M113" s="23" t="s">
        <v>1611</v>
      </c>
      <c r="N113" s="23" t="s">
        <v>1778</v>
      </c>
      <c r="O113" s="23" t="s">
        <v>1612</v>
      </c>
    </row>
    <row r="114" ht="18.0" customHeight="1">
      <c r="A114" s="23" t="s">
        <v>1771</v>
      </c>
      <c r="B114" s="23" t="s">
        <v>1759</v>
      </c>
      <c r="C114" s="23" t="s">
        <v>1759</v>
      </c>
      <c r="D114" s="23" t="s">
        <v>1780</v>
      </c>
      <c r="E114" s="23" t="s">
        <v>1580</v>
      </c>
      <c r="F114" s="23" t="s">
        <v>1580</v>
      </c>
      <c r="G114" s="23" t="s">
        <v>1594</v>
      </c>
      <c r="H114" s="23" t="s">
        <v>1595</v>
      </c>
      <c r="I114" s="23" t="s">
        <v>1583</v>
      </c>
      <c r="J114" s="23" t="s">
        <v>1583</v>
      </c>
      <c r="K114" s="23" t="s">
        <v>1596</v>
      </c>
      <c r="L114" s="23" t="s">
        <v>1592</v>
      </c>
      <c r="M114" s="23" t="s">
        <v>1611</v>
      </c>
      <c r="N114" s="23" t="s">
        <v>1759</v>
      </c>
      <c r="O114" s="23" t="s">
        <v>1612</v>
      </c>
    </row>
    <row r="115" ht="18.0" customHeight="1">
      <c r="A115" s="23" t="s">
        <v>1771</v>
      </c>
      <c r="B115" s="23" t="s">
        <v>1781</v>
      </c>
      <c r="C115" s="23" t="s">
        <v>1781</v>
      </c>
      <c r="D115" s="23" t="s">
        <v>1782</v>
      </c>
      <c r="E115" s="23" t="s">
        <v>1580</v>
      </c>
      <c r="F115" s="23" t="s">
        <v>1580</v>
      </c>
      <c r="G115" s="23" t="s">
        <v>1594</v>
      </c>
      <c r="H115" s="23" t="s">
        <v>1595</v>
      </c>
      <c r="I115" s="23" t="s">
        <v>1583</v>
      </c>
      <c r="J115" s="23" t="s">
        <v>1583</v>
      </c>
      <c r="K115" s="23" t="s">
        <v>1596</v>
      </c>
      <c r="L115" s="23" t="s">
        <v>1592</v>
      </c>
      <c r="M115" s="23" t="s">
        <v>1611</v>
      </c>
      <c r="N115" s="23" t="s">
        <v>1781</v>
      </c>
      <c r="O115" s="23" t="s">
        <v>1612</v>
      </c>
    </row>
    <row r="116" ht="18.0" customHeight="1">
      <c r="A116" s="23" t="s">
        <v>1771</v>
      </c>
      <c r="B116" s="23" t="s">
        <v>1743</v>
      </c>
      <c r="C116" s="23" t="s">
        <v>1743</v>
      </c>
      <c r="D116" s="23" t="s">
        <v>1783</v>
      </c>
      <c r="E116" s="23" t="s">
        <v>1580</v>
      </c>
      <c r="F116" s="23" t="s">
        <v>1580</v>
      </c>
      <c r="G116" s="23" t="s">
        <v>1594</v>
      </c>
      <c r="H116" s="23" t="s">
        <v>1595</v>
      </c>
      <c r="I116" s="23" t="s">
        <v>1583</v>
      </c>
      <c r="J116" s="23" t="s">
        <v>1745</v>
      </c>
      <c r="K116" s="23" t="s">
        <v>1596</v>
      </c>
      <c r="L116" s="23" t="s">
        <v>1592</v>
      </c>
      <c r="M116" s="23" t="s">
        <v>1611</v>
      </c>
      <c r="N116" s="23" t="s">
        <v>1743</v>
      </c>
      <c r="O116" s="23" t="s">
        <v>1612</v>
      </c>
    </row>
    <row r="117" ht="18.0" customHeight="1">
      <c r="A117" s="23" t="s">
        <v>1771</v>
      </c>
      <c r="B117" s="23" t="s">
        <v>1784</v>
      </c>
      <c r="C117" s="23" t="s">
        <v>1784</v>
      </c>
      <c r="D117" s="23" t="s">
        <v>1785</v>
      </c>
      <c r="E117" s="23" t="s">
        <v>1624</v>
      </c>
      <c r="F117" s="23" t="s">
        <v>1624</v>
      </c>
      <c r="G117" s="23" t="s">
        <v>1594</v>
      </c>
      <c r="H117" s="23" t="s">
        <v>1595</v>
      </c>
      <c r="I117" s="23" t="s">
        <v>1583</v>
      </c>
      <c r="J117" s="23" t="s">
        <v>1583</v>
      </c>
      <c r="K117" s="23" t="s">
        <v>1596</v>
      </c>
      <c r="L117" s="23" t="s">
        <v>1592</v>
      </c>
      <c r="M117" s="23" t="s">
        <v>1611</v>
      </c>
      <c r="N117" s="23" t="s">
        <v>1784</v>
      </c>
      <c r="O117" s="23" t="s">
        <v>1612</v>
      </c>
    </row>
    <row r="118" ht="18.0" customHeight="1">
      <c r="A118" s="23" t="s">
        <v>1786</v>
      </c>
      <c r="B118" s="23" t="s">
        <v>1787</v>
      </c>
      <c r="C118" s="23" t="s">
        <v>1787</v>
      </c>
      <c r="D118" s="23" t="s">
        <v>1788</v>
      </c>
      <c r="E118" s="23" t="s">
        <v>1605</v>
      </c>
      <c r="F118" s="23" t="s">
        <v>1606</v>
      </c>
      <c r="G118" s="23" t="s">
        <v>1594</v>
      </c>
      <c r="H118" s="23" t="s">
        <v>1595</v>
      </c>
      <c r="I118" s="23" t="s">
        <v>1583</v>
      </c>
      <c r="J118" s="23" t="s">
        <v>1583</v>
      </c>
      <c r="K118" s="23" t="s">
        <v>1596</v>
      </c>
      <c r="L118" s="23" t="s">
        <v>1592</v>
      </c>
      <c r="M118" s="23" t="s">
        <v>1611</v>
      </c>
      <c r="N118" s="23" t="s">
        <v>1787</v>
      </c>
      <c r="O118" s="23" t="s">
        <v>1612</v>
      </c>
    </row>
    <row r="119" ht="18.0" customHeight="1">
      <c r="A119" s="23" t="s">
        <v>1786</v>
      </c>
      <c r="B119" s="23" t="s">
        <v>53</v>
      </c>
      <c r="C119" s="23" t="s">
        <v>53</v>
      </c>
      <c r="D119" s="23" t="s">
        <v>1789</v>
      </c>
      <c r="E119" s="23" t="s">
        <v>1580</v>
      </c>
      <c r="F119" s="23" t="s">
        <v>1580</v>
      </c>
      <c r="G119" s="23" t="s">
        <v>1594</v>
      </c>
      <c r="H119" s="23" t="s">
        <v>1589</v>
      </c>
      <c r="I119" s="23" t="s">
        <v>1590</v>
      </c>
      <c r="J119" s="23" t="s">
        <v>1583</v>
      </c>
      <c r="K119" s="23" t="s">
        <v>1591</v>
      </c>
      <c r="L119" s="23" t="s">
        <v>1592</v>
      </c>
      <c r="M119" s="23" t="s">
        <v>1611</v>
      </c>
      <c r="N119" s="23" t="s">
        <v>53</v>
      </c>
      <c r="O119" s="23" t="s">
        <v>1612</v>
      </c>
    </row>
    <row r="120" ht="18.0" customHeight="1">
      <c r="A120" s="23" t="s">
        <v>1786</v>
      </c>
      <c r="B120" s="23" t="s">
        <v>1790</v>
      </c>
      <c r="C120" s="23" t="s">
        <v>1790</v>
      </c>
      <c r="D120" s="23" t="s">
        <v>1791</v>
      </c>
      <c r="E120" s="23" t="s">
        <v>1580</v>
      </c>
      <c r="F120" s="23" t="s">
        <v>1580</v>
      </c>
      <c r="G120" s="23" t="s">
        <v>1594</v>
      </c>
      <c r="H120" s="23" t="s">
        <v>1595</v>
      </c>
      <c r="I120" s="23" t="s">
        <v>1583</v>
      </c>
      <c r="J120" s="23" t="s">
        <v>1583</v>
      </c>
      <c r="K120" s="23" t="s">
        <v>1596</v>
      </c>
      <c r="L120" s="23" t="s">
        <v>1592</v>
      </c>
      <c r="M120" s="23" t="s">
        <v>1611</v>
      </c>
      <c r="N120" s="23" t="s">
        <v>1790</v>
      </c>
      <c r="O120" s="23" t="s">
        <v>1612</v>
      </c>
    </row>
    <row r="121" ht="18.0" customHeight="1">
      <c r="A121" s="23" t="s">
        <v>1786</v>
      </c>
      <c r="B121" s="23" t="s">
        <v>1792</v>
      </c>
      <c r="C121" s="23" t="s">
        <v>1792</v>
      </c>
      <c r="D121" s="23" t="s">
        <v>1793</v>
      </c>
      <c r="E121" s="23" t="s">
        <v>1624</v>
      </c>
      <c r="F121" s="23" t="s">
        <v>1624</v>
      </c>
      <c r="G121" s="23" t="s">
        <v>1594</v>
      </c>
      <c r="H121" s="23" t="s">
        <v>1595</v>
      </c>
      <c r="I121" s="23" t="s">
        <v>1583</v>
      </c>
      <c r="J121" s="23" t="s">
        <v>1583</v>
      </c>
      <c r="K121" s="23" t="s">
        <v>1596</v>
      </c>
      <c r="L121" s="23" t="s">
        <v>1592</v>
      </c>
      <c r="M121" s="23" t="s">
        <v>1611</v>
      </c>
      <c r="N121" s="23" t="s">
        <v>1792</v>
      </c>
      <c r="O121" s="23" t="s">
        <v>1612</v>
      </c>
    </row>
    <row r="122" ht="18.0" customHeight="1">
      <c r="A122" s="23" t="s">
        <v>1786</v>
      </c>
      <c r="B122" s="23" t="s">
        <v>1794</v>
      </c>
      <c r="C122" s="23" t="s">
        <v>1794</v>
      </c>
      <c r="D122" s="23" t="s">
        <v>1795</v>
      </c>
      <c r="E122" s="23" t="s">
        <v>1624</v>
      </c>
      <c r="F122" s="23" t="s">
        <v>1624</v>
      </c>
      <c r="G122" s="23" t="s">
        <v>1594</v>
      </c>
      <c r="H122" s="23" t="s">
        <v>1595</v>
      </c>
      <c r="I122" s="23" t="s">
        <v>1583</v>
      </c>
      <c r="J122" s="23" t="s">
        <v>1583</v>
      </c>
      <c r="K122" s="23" t="s">
        <v>1596</v>
      </c>
      <c r="L122" s="23" t="s">
        <v>1592</v>
      </c>
      <c r="M122" s="23" t="s">
        <v>1611</v>
      </c>
      <c r="N122" s="23" t="s">
        <v>1794</v>
      </c>
      <c r="O122" s="23" t="s">
        <v>1612</v>
      </c>
    </row>
    <row r="123" ht="18.0" customHeight="1">
      <c r="A123" s="23" t="s">
        <v>1786</v>
      </c>
      <c r="B123" s="23" t="s">
        <v>1796</v>
      </c>
      <c r="C123" s="23" t="s">
        <v>1796</v>
      </c>
      <c r="D123" s="23" t="s">
        <v>1797</v>
      </c>
      <c r="E123" s="23" t="s">
        <v>1580</v>
      </c>
      <c r="F123" s="23" t="s">
        <v>1580</v>
      </c>
      <c r="G123" s="23" t="s">
        <v>1594</v>
      </c>
      <c r="H123" s="23" t="s">
        <v>1595</v>
      </c>
      <c r="I123" s="23" t="s">
        <v>1583</v>
      </c>
      <c r="J123" s="23" t="s">
        <v>1583</v>
      </c>
      <c r="K123" s="23" t="s">
        <v>1596</v>
      </c>
      <c r="L123" s="23" t="s">
        <v>1592</v>
      </c>
      <c r="M123" s="23" t="s">
        <v>1611</v>
      </c>
      <c r="N123" s="23" t="s">
        <v>1796</v>
      </c>
      <c r="O123" s="23" t="s">
        <v>1612</v>
      </c>
    </row>
    <row r="124" ht="18.0" customHeight="1">
      <c r="A124" s="23" t="s">
        <v>1786</v>
      </c>
      <c r="B124" s="23" t="s">
        <v>1798</v>
      </c>
      <c r="C124" s="23" t="s">
        <v>1798</v>
      </c>
      <c r="D124" s="23" t="s">
        <v>1799</v>
      </c>
      <c r="E124" s="23" t="s">
        <v>1624</v>
      </c>
      <c r="F124" s="23" t="s">
        <v>1624</v>
      </c>
      <c r="G124" s="23" t="s">
        <v>1594</v>
      </c>
      <c r="H124" s="23" t="s">
        <v>1595</v>
      </c>
      <c r="I124" s="23" t="s">
        <v>1583</v>
      </c>
      <c r="J124" s="23" t="s">
        <v>1583</v>
      </c>
      <c r="K124" s="23" t="s">
        <v>1596</v>
      </c>
      <c r="L124" s="23" t="s">
        <v>1592</v>
      </c>
      <c r="M124" s="23" t="s">
        <v>1611</v>
      </c>
      <c r="N124" s="23" t="s">
        <v>1798</v>
      </c>
      <c r="O124" s="23" t="s">
        <v>1612</v>
      </c>
    </row>
    <row r="125" ht="18.0" customHeight="1">
      <c r="A125" s="23" t="s">
        <v>1786</v>
      </c>
      <c r="B125" s="23" t="s">
        <v>1800</v>
      </c>
      <c r="C125" s="23" t="s">
        <v>1800</v>
      </c>
      <c r="D125" s="23" t="s">
        <v>1801</v>
      </c>
      <c r="E125" s="23" t="s">
        <v>1624</v>
      </c>
      <c r="F125" s="23" t="s">
        <v>1624</v>
      </c>
      <c r="G125" s="23" t="s">
        <v>1594</v>
      </c>
      <c r="H125" s="23" t="s">
        <v>1595</v>
      </c>
      <c r="I125" s="23" t="s">
        <v>1583</v>
      </c>
      <c r="J125" s="23" t="s">
        <v>1583</v>
      </c>
      <c r="K125" s="23" t="s">
        <v>1596</v>
      </c>
      <c r="L125" s="23" t="s">
        <v>1592</v>
      </c>
      <c r="M125" s="23" t="s">
        <v>1611</v>
      </c>
      <c r="N125" s="23" t="s">
        <v>1800</v>
      </c>
      <c r="O125" s="23" t="s">
        <v>1612</v>
      </c>
    </row>
    <row r="126" ht="18.0" customHeight="1">
      <c r="A126" s="23" t="s">
        <v>1786</v>
      </c>
      <c r="B126" s="23" t="s">
        <v>1802</v>
      </c>
      <c r="C126" s="23" t="s">
        <v>1802</v>
      </c>
      <c r="D126" s="23" t="s">
        <v>1803</v>
      </c>
      <c r="E126" s="23" t="s">
        <v>1624</v>
      </c>
      <c r="F126" s="23" t="s">
        <v>1624</v>
      </c>
      <c r="G126" s="23" t="s">
        <v>1594</v>
      </c>
      <c r="H126" s="23" t="s">
        <v>1595</v>
      </c>
      <c r="I126" s="23" t="s">
        <v>1583</v>
      </c>
      <c r="J126" s="23" t="s">
        <v>1583</v>
      </c>
      <c r="K126" s="23" t="s">
        <v>1596</v>
      </c>
      <c r="L126" s="23" t="s">
        <v>1592</v>
      </c>
      <c r="M126" s="23" t="s">
        <v>1611</v>
      </c>
      <c r="N126" s="23" t="s">
        <v>1802</v>
      </c>
      <c r="O126" s="23" t="s">
        <v>1612</v>
      </c>
    </row>
    <row r="127" ht="18.0" customHeight="1">
      <c r="A127" s="23" t="s">
        <v>1786</v>
      </c>
      <c r="B127" s="23" t="s">
        <v>1804</v>
      </c>
      <c r="C127" s="23" t="s">
        <v>1767</v>
      </c>
      <c r="D127" s="23" t="s">
        <v>1805</v>
      </c>
      <c r="E127" s="23" t="s">
        <v>1624</v>
      </c>
      <c r="F127" s="23" t="s">
        <v>1624</v>
      </c>
      <c r="G127" s="23" t="s">
        <v>1594</v>
      </c>
      <c r="H127" s="23" t="s">
        <v>1595</v>
      </c>
      <c r="I127" s="23" t="s">
        <v>1583</v>
      </c>
      <c r="J127" s="23" t="s">
        <v>1583</v>
      </c>
      <c r="K127" s="23" t="s">
        <v>1596</v>
      </c>
      <c r="L127" s="23" t="s">
        <v>1592</v>
      </c>
      <c r="M127" s="23" t="s">
        <v>1611</v>
      </c>
      <c r="N127" s="23" t="s">
        <v>1804</v>
      </c>
      <c r="O127" s="23" t="s">
        <v>1612</v>
      </c>
    </row>
    <row r="128" ht="18.0" customHeight="1">
      <c r="A128" s="23" t="s">
        <v>1786</v>
      </c>
      <c r="B128" s="23" t="s">
        <v>1806</v>
      </c>
      <c r="C128" s="23" t="s">
        <v>1806</v>
      </c>
      <c r="D128" s="23" t="s">
        <v>1807</v>
      </c>
      <c r="E128" s="23" t="s">
        <v>1624</v>
      </c>
      <c r="F128" s="23" t="s">
        <v>1624</v>
      </c>
      <c r="G128" s="23" t="s">
        <v>1594</v>
      </c>
      <c r="H128" s="23" t="s">
        <v>1595</v>
      </c>
      <c r="I128" s="23" t="s">
        <v>1583</v>
      </c>
      <c r="J128" s="23" t="s">
        <v>1583</v>
      </c>
      <c r="K128" s="23" t="s">
        <v>1596</v>
      </c>
      <c r="L128" s="23" t="s">
        <v>1592</v>
      </c>
      <c r="M128" s="23" t="s">
        <v>1611</v>
      </c>
      <c r="N128" s="23" t="s">
        <v>1806</v>
      </c>
      <c r="O128" s="23" t="s">
        <v>1612</v>
      </c>
    </row>
    <row r="129" ht="18.0" customHeight="1">
      <c r="A129" s="23" t="s">
        <v>1786</v>
      </c>
      <c r="B129" s="23" t="s">
        <v>1808</v>
      </c>
      <c r="C129" s="23" t="s">
        <v>1808</v>
      </c>
      <c r="D129" s="23" t="s">
        <v>1809</v>
      </c>
      <c r="E129" s="23" t="s">
        <v>1624</v>
      </c>
      <c r="F129" s="23" t="s">
        <v>1624</v>
      </c>
      <c r="G129" s="23" t="s">
        <v>1594</v>
      </c>
      <c r="H129" s="23" t="s">
        <v>1595</v>
      </c>
      <c r="I129" s="23" t="s">
        <v>1583</v>
      </c>
      <c r="J129" s="23" t="s">
        <v>1583</v>
      </c>
      <c r="K129" s="23" t="s">
        <v>1596</v>
      </c>
      <c r="L129" s="23" t="s">
        <v>1592</v>
      </c>
      <c r="M129" s="23" t="s">
        <v>1611</v>
      </c>
      <c r="N129" s="23" t="s">
        <v>1808</v>
      </c>
      <c r="O129" s="23" t="s">
        <v>1612</v>
      </c>
    </row>
    <row r="130" ht="18.0" customHeight="1">
      <c r="A130" s="23" t="s">
        <v>1786</v>
      </c>
      <c r="B130" s="23" t="s">
        <v>1810</v>
      </c>
      <c r="C130" s="23" t="s">
        <v>1810</v>
      </c>
      <c r="D130" s="23" t="s">
        <v>1811</v>
      </c>
      <c r="E130" s="23" t="s">
        <v>1624</v>
      </c>
      <c r="F130" s="23" t="s">
        <v>1624</v>
      </c>
      <c r="G130" s="23" t="s">
        <v>1594</v>
      </c>
      <c r="H130" s="23" t="s">
        <v>1595</v>
      </c>
      <c r="I130" s="23" t="s">
        <v>1583</v>
      </c>
      <c r="J130" s="23" t="s">
        <v>1583</v>
      </c>
      <c r="K130" s="23" t="s">
        <v>1596</v>
      </c>
      <c r="L130" s="23" t="s">
        <v>1592</v>
      </c>
      <c r="M130" s="23" t="s">
        <v>1611</v>
      </c>
      <c r="N130" s="23" t="s">
        <v>1810</v>
      </c>
      <c r="O130" s="23" t="s">
        <v>1612</v>
      </c>
    </row>
    <row r="131" ht="18.0" customHeight="1">
      <c r="A131" s="23" t="s">
        <v>1786</v>
      </c>
      <c r="B131" s="23" t="s">
        <v>1812</v>
      </c>
      <c r="C131" s="23" t="s">
        <v>1813</v>
      </c>
      <c r="D131" s="23" t="s">
        <v>1814</v>
      </c>
      <c r="E131" s="23" t="s">
        <v>1624</v>
      </c>
      <c r="F131" s="23" t="s">
        <v>1624</v>
      </c>
      <c r="G131" s="23" t="s">
        <v>1594</v>
      </c>
      <c r="H131" s="23" t="s">
        <v>1595</v>
      </c>
      <c r="I131" s="23" t="s">
        <v>1583</v>
      </c>
      <c r="J131" s="23" t="s">
        <v>1583</v>
      </c>
      <c r="K131" s="23" t="s">
        <v>1596</v>
      </c>
      <c r="L131" s="23" t="s">
        <v>1592</v>
      </c>
      <c r="M131" s="23" t="s">
        <v>1611</v>
      </c>
      <c r="N131" s="23" t="s">
        <v>1812</v>
      </c>
      <c r="O131" s="23" t="s">
        <v>1612</v>
      </c>
    </row>
    <row r="132" ht="18.0" customHeight="1">
      <c r="A132" s="23" t="s">
        <v>1786</v>
      </c>
      <c r="B132" s="23" t="s">
        <v>1815</v>
      </c>
      <c r="C132" s="23" t="s">
        <v>1815</v>
      </c>
      <c r="D132" s="23" t="s">
        <v>1816</v>
      </c>
      <c r="E132" s="23" t="s">
        <v>1580</v>
      </c>
      <c r="F132" s="23" t="s">
        <v>1580</v>
      </c>
      <c r="G132" s="23" t="s">
        <v>1594</v>
      </c>
      <c r="H132" s="23" t="s">
        <v>1595</v>
      </c>
      <c r="I132" s="23" t="s">
        <v>1583</v>
      </c>
      <c r="J132" s="23" t="s">
        <v>1583</v>
      </c>
      <c r="K132" s="23" t="s">
        <v>1596</v>
      </c>
      <c r="L132" s="23" t="s">
        <v>1592</v>
      </c>
      <c r="M132" s="23" t="s">
        <v>1611</v>
      </c>
      <c r="N132" s="23" t="s">
        <v>1815</v>
      </c>
      <c r="O132" s="23" t="s">
        <v>1612</v>
      </c>
    </row>
    <row r="133" ht="18.0" customHeight="1">
      <c r="A133" s="23" t="s">
        <v>1786</v>
      </c>
      <c r="B133" s="23" t="s">
        <v>1817</v>
      </c>
      <c r="C133" s="23" t="s">
        <v>1817</v>
      </c>
      <c r="D133" s="23" t="s">
        <v>1818</v>
      </c>
      <c r="E133" s="23" t="s">
        <v>1580</v>
      </c>
      <c r="F133" s="23" t="s">
        <v>1580</v>
      </c>
      <c r="G133" s="23" t="s">
        <v>1594</v>
      </c>
      <c r="H133" s="23" t="s">
        <v>1595</v>
      </c>
      <c r="I133" s="23" t="s">
        <v>1583</v>
      </c>
      <c r="J133" s="23" t="s">
        <v>1583</v>
      </c>
      <c r="K133" s="23" t="s">
        <v>1596</v>
      </c>
      <c r="L133" s="23" t="s">
        <v>1592</v>
      </c>
      <c r="M133" s="23" t="s">
        <v>1611</v>
      </c>
      <c r="N133" s="23" t="s">
        <v>1817</v>
      </c>
      <c r="O133" s="23" t="s">
        <v>1612</v>
      </c>
    </row>
    <row r="134" ht="18.0" customHeight="1">
      <c r="A134" s="23" t="s">
        <v>1819</v>
      </c>
      <c r="B134" s="23" t="s">
        <v>1820</v>
      </c>
      <c r="C134" s="23" t="s">
        <v>1820</v>
      </c>
      <c r="D134" s="23" t="s">
        <v>1821</v>
      </c>
      <c r="E134" s="23" t="s">
        <v>1580</v>
      </c>
      <c r="F134" s="23" t="s">
        <v>1580</v>
      </c>
      <c r="G134" s="23" t="s">
        <v>1581</v>
      </c>
      <c r="H134" s="23" t="s">
        <v>1582</v>
      </c>
      <c r="I134" s="23" t="s">
        <v>1583</v>
      </c>
      <c r="J134" s="23" t="s">
        <v>1583</v>
      </c>
      <c r="K134" s="23" t="s">
        <v>1584</v>
      </c>
      <c r="L134" s="23" t="s">
        <v>1585</v>
      </c>
      <c r="M134" s="23" t="s">
        <v>1611</v>
      </c>
      <c r="N134" s="23" t="s">
        <v>1820</v>
      </c>
      <c r="O134" s="23" t="s">
        <v>1612</v>
      </c>
    </row>
    <row r="135" ht="18.0" customHeight="1">
      <c r="A135" s="23" t="s">
        <v>1819</v>
      </c>
      <c r="B135" s="23" t="s">
        <v>1822</v>
      </c>
      <c r="C135" s="23" t="s">
        <v>1822</v>
      </c>
      <c r="D135" s="23" t="s">
        <v>1823</v>
      </c>
      <c r="E135" s="23" t="s">
        <v>1605</v>
      </c>
      <c r="F135" s="23" t="s">
        <v>1606</v>
      </c>
      <c r="G135" s="23" t="s">
        <v>1594</v>
      </c>
      <c r="H135" s="23" t="s">
        <v>1595</v>
      </c>
      <c r="I135" s="23" t="s">
        <v>1583</v>
      </c>
      <c r="J135" s="23" t="s">
        <v>1583</v>
      </c>
      <c r="K135" s="23" t="s">
        <v>1596</v>
      </c>
      <c r="L135" s="23" t="s">
        <v>1592</v>
      </c>
      <c r="M135" s="23" t="s">
        <v>1611</v>
      </c>
      <c r="N135" s="23" t="s">
        <v>1822</v>
      </c>
      <c r="O135" s="23" t="s">
        <v>1612</v>
      </c>
    </row>
    <row r="136" ht="18.0" customHeight="1">
      <c r="A136" s="23" t="s">
        <v>1819</v>
      </c>
      <c r="B136" s="23" t="s">
        <v>1824</v>
      </c>
      <c r="C136" s="23" t="s">
        <v>1824</v>
      </c>
      <c r="D136" s="23" t="s">
        <v>1825</v>
      </c>
      <c r="E136" s="23" t="s">
        <v>1605</v>
      </c>
      <c r="F136" s="23" t="s">
        <v>1606</v>
      </c>
      <c r="G136" s="23" t="s">
        <v>1594</v>
      </c>
      <c r="H136" s="23" t="s">
        <v>1595</v>
      </c>
      <c r="I136" s="23" t="s">
        <v>1583</v>
      </c>
      <c r="J136" s="23" t="s">
        <v>1583</v>
      </c>
      <c r="K136" s="23" t="s">
        <v>1596</v>
      </c>
      <c r="L136" s="23" t="s">
        <v>1592</v>
      </c>
      <c r="M136" s="23" t="s">
        <v>1611</v>
      </c>
      <c r="N136" s="23" t="s">
        <v>1824</v>
      </c>
      <c r="O136" s="23" t="s">
        <v>1612</v>
      </c>
    </row>
    <row r="137" ht="18.0" customHeight="1">
      <c r="A137" s="23" t="s">
        <v>1819</v>
      </c>
      <c r="B137" s="23" t="s">
        <v>1826</v>
      </c>
      <c r="C137" s="23" t="s">
        <v>1826</v>
      </c>
      <c r="D137" s="23" t="s">
        <v>1827</v>
      </c>
      <c r="E137" s="23" t="s">
        <v>1580</v>
      </c>
      <c r="F137" s="23" t="s">
        <v>1580</v>
      </c>
      <c r="G137" s="23" t="s">
        <v>1594</v>
      </c>
      <c r="H137" s="23" t="s">
        <v>1595</v>
      </c>
      <c r="I137" s="23" t="s">
        <v>1583</v>
      </c>
      <c r="J137" s="23" t="s">
        <v>1583</v>
      </c>
      <c r="K137" s="23" t="s">
        <v>1596</v>
      </c>
      <c r="L137" s="23" t="s">
        <v>1592</v>
      </c>
      <c r="M137" s="23" t="s">
        <v>1611</v>
      </c>
      <c r="N137" s="23" t="s">
        <v>1826</v>
      </c>
      <c r="O137" s="23" t="s">
        <v>1612</v>
      </c>
    </row>
    <row r="138" ht="18.0" customHeight="1">
      <c r="A138" s="23" t="s">
        <v>1819</v>
      </c>
      <c r="B138" s="23" t="s">
        <v>1828</v>
      </c>
      <c r="C138" s="23" t="s">
        <v>1828</v>
      </c>
      <c r="D138" s="23" t="s">
        <v>1829</v>
      </c>
      <c r="E138" s="23" t="s">
        <v>1580</v>
      </c>
      <c r="F138" s="23" t="s">
        <v>1580</v>
      </c>
      <c r="G138" s="23" t="s">
        <v>1594</v>
      </c>
      <c r="H138" s="23" t="s">
        <v>1595</v>
      </c>
      <c r="I138" s="23" t="s">
        <v>1583</v>
      </c>
      <c r="J138" s="23" t="s">
        <v>1583</v>
      </c>
      <c r="K138" s="23" t="s">
        <v>1596</v>
      </c>
      <c r="L138" s="23" t="s">
        <v>1592</v>
      </c>
      <c r="M138" s="23" t="s">
        <v>1611</v>
      </c>
      <c r="N138" s="23" t="s">
        <v>1828</v>
      </c>
      <c r="O138" s="23" t="s">
        <v>1612</v>
      </c>
    </row>
    <row r="139" ht="18.0" customHeight="1">
      <c r="A139" s="23" t="s">
        <v>1819</v>
      </c>
      <c r="B139" s="23" t="s">
        <v>1743</v>
      </c>
      <c r="C139" s="23" t="s">
        <v>1743</v>
      </c>
      <c r="D139" s="23" t="s">
        <v>1830</v>
      </c>
      <c r="E139" s="23" t="s">
        <v>1580</v>
      </c>
      <c r="F139" s="23" t="s">
        <v>1580</v>
      </c>
      <c r="G139" s="23" t="s">
        <v>1594</v>
      </c>
      <c r="H139" s="23" t="s">
        <v>1595</v>
      </c>
      <c r="I139" s="23" t="s">
        <v>1583</v>
      </c>
      <c r="J139" s="23" t="s">
        <v>1745</v>
      </c>
      <c r="K139" s="23" t="s">
        <v>1596</v>
      </c>
      <c r="L139" s="23" t="s">
        <v>1592</v>
      </c>
      <c r="M139" s="23" t="s">
        <v>1611</v>
      </c>
      <c r="N139" s="23" t="s">
        <v>1743</v>
      </c>
      <c r="O139" s="23" t="s">
        <v>1612</v>
      </c>
    </row>
    <row r="140" ht="18.0" customHeight="1">
      <c r="A140" s="23" t="s">
        <v>1819</v>
      </c>
      <c r="B140" s="23" t="s">
        <v>1831</v>
      </c>
      <c r="C140" s="23" t="s">
        <v>1831</v>
      </c>
      <c r="D140" s="23" t="s">
        <v>1832</v>
      </c>
      <c r="E140" s="23" t="s">
        <v>1624</v>
      </c>
      <c r="F140" s="23" t="s">
        <v>1624</v>
      </c>
      <c r="G140" s="23" t="s">
        <v>1594</v>
      </c>
      <c r="H140" s="23" t="s">
        <v>1595</v>
      </c>
      <c r="I140" s="23" t="s">
        <v>1583</v>
      </c>
      <c r="J140" s="23" t="s">
        <v>1583</v>
      </c>
      <c r="K140" s="23" t="s">
        <v>1596</v>
      </c>
      <c r="L140" s="23" t="s">
        <v>1592</v>
      </c>
      <c r="M140" s="23" t="s">
        <v>1611</v>
      </c>
      <c r="N140" s="23" t="s">
        <v>1831</v>
      </c>
      <c r="O140" s="23" t="s">
        <v>1612</v>
      </c>
    </row>
    <row r="141" ht="18.0" customHeight="1">
      <c r="A141" s="23" t="s">
        <v>1819</v>
      </c>
      <c r="B141" s="23" t="s">
        <v>1833</v>
      </c>
      <c r="C141" s="23" t="s">
        <v>1833</v>
      </c>
      <c r="D141" s="23" t="s">
        <v>1834</v>
      </c>
      <c r="E141" s="23" t="s">
        <v>1580</v>
      </c>
      <c r="F141" s="23" t="s">
        <v>1580</v>
      </c>
      <c r="G141" s="23" t="s">
        <v>1594</v>
      </c>
      <c r="H141" s="23" t="s">
        <v>1595</v>
      </c>
      <c r="I141" s="23" t="s">
        <v>1583</v>
      </c>
      <c r="J141" s="23" t="s">
        <v>1583</v>
      </c>
      <c r="K141" s="23" t="s">
        <v>1596</v>
      </c>
      <c r="L141" s="23" t="s">
        <v>1592</v>
      </c>
      <c r="M141" s="23" t="s">
        <v>1611</v>
      </c>
      <c r="N141" s="23" t="s">
        <v>1833</v>
      </c>
      <c r="O141" s="23" t="s">
        <v>1612</v>
      </c>
    </row>
  </sheetData>
  <autoFilter ref="$A$1:$O$14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82C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5.38"/>
    <col customWidth="1" min="3" max="3" width="17.0"/>
    <col customWidth="1" min="4" max="4" width="16.0"/>
    <col customWidth="1" min="5" max="5" width="10.88"/>
    <col customWidth="1" min="6" max="6" width="13.25"/>
    <col customWidth="1" min="7" max="7" width="8.0"/>
    <col customWidth="1" min="8" max="8" width="15.75"/>
  </cols>
  <sheetData>
    <row r="1" ht="27.0" customHeight="1">
      <c r="A1" s="22" t="s">
        <v>1731</v>
      </c>
      <c r="B1" s="22" t="s">
        <v>1733</v>
      </c>
      <c r="C1" s="22" t="s">
        <v>1735</v>
      </c>
      <c r="D1" s="22" t="s">
        <v>1737</v>
      </c>
      <c r="E1" s="22" t="s">
        <v>1739</v>
      </c>
      <c r="F1" s="22" t="s">
        <v>1741</v>
      </c>
      <c r="G1" s="22" t="s">
        <v>1743</v>
      </c>
      <c r="H1" s="22" t="s">
        <v>1746</v>
      </c>
    </row>
    <row r="2" ht="18.0" customHeight="1">
      <c r="A2" s="23" t="s">
        <v>59</v>
      </c>
      <c r="B2" s="23" t="s">
        <v>1835</v>
      </c>
      <c r="C2" s="23" t="s">
        <v>1836</v>
      </c>
      <c r="D2" s="23" t="s">
        <v>1837</v>
      </c>
      <c r="E2" s="23" t="s">
        <v>1838</v>
      </c>
      <c r="F2" s="23" t="s">
        <v>74</v>
      </c>
      <c r="G2" s="23" t="s">
        <v>60</v>
      </c>
      <c r="H2" s="25">
        <v>45292.0</v>
      </c>
    </row>
    <row r="3" ht="18.0" customHeight="1">
      <c r="A3" s="23" t="s">
        <v>78</v>
      </c>
      <c r="B3" s="23" t="s">
        <v>1839</v>
      </c>
      <c r="C3" s="23" t="s">
        <v>1836</v>
      </c>
      <c r="D3" s="23" t="s">
        <v>1840</v>
      </c>
      <c r="E3" s="23" t="s">
        <v>1841</v>
      </c>
      <c r="F3" s="23" t="s">
        <v>74</v>
      </c>
      <c r="G3" s="23" t="s">
        <v>60</v>
      </c>
      <c r="H3" s="25">
        <v>45323.0</v>
      </c>
    </row>
    <row r="4" ht="18.0" customHeight="1">
      <c r="A4" s="23" t="s">
        <v>91</v>
      </c>
      <c r="B4" s="23" t="s">
        <v>1842</v>
      </c>
      <c r="C4" s="23" t="s">
        <v>1843</v>
      </c>
      <c r="D4" s="23" t="s">
        <v>1844</v>
      </c>
      <c r="E4" s="23" t="s">
        <v>1845</v>
      </c>
      <c r="F4" s="23" t="s">
        <v>46</v>
      </c>
      <c r="G4" s="23" t="s">
        <v>60</v>
      </c>
      <c r="H4" s="25">
        <v>45352.0</v>
      </c>
    </row>
    <row r="5" ht="18.0" customHeight="1">
      <c r="A5" s="23" t="s">
        <v>104</v>
      </c>
      <c r="B5" s="23" t="s">
        <v>1846</v>
      </c>
      <c r="C5" s="23" t="s">
        <v>1836</v>
      </c>
      <c r="D5" s="23" t="s">
        <v>1847</v>
      </c>
      <c r="E5" s="23" t="s">
        <v>1848</v>
      </c>
      <c r="F5" s="23" t="s">
        <v>46</v>
      </c>
      <c r="G5" s="23" t="s">
        <v>60</v>
      </c>
      <c r="H5" s="25">
        <v>45383.0</v>
      </c>
    </row>
    <row r="6" ht="18.0" customHeight="1">
      <c r="A6" s="23" t="s">
        <v>111</v>
      </c>
      <c r="B6" s="23" t="s">
        <v>1849</v>
      </c>
      <c r="C6" s="23" t="s">
        <v>1843</v>
      </c>
      <c r="D6" s="23" t="s">
        <v>1850</v>
      </c>
      <c r="E6" s="23" t="s">
        <v>1851</v>
      </c>
      <c r="F6" s="23" t="s">
        <v>154</v>
      </c>
      <c r="G6" s="23" t="s">
        <v>60</v>
      </c>
      <c r="H6" s="25">
        <v>45413.0</v>
      </c>
    </row>
    <row r="7" ht="18.0" customHeight="1">
      <c r="A7" s="23" t="s">
        <v>119</v>
      </c>
      <c r="B7" s="23" t="s">
        <v>1852</v>
      </c>
      <c r="C7" s="23" t="s">
        <v>1836</v>
      </c>
      <c r="D7" s="23" t="s">
        <v>1853</v>
      </c>
      <c r="E7" s="23" t="s">
        <v>1854</v>
      </c>
      <c r="F7" s="23" t="s">
        <v>154</v>
      </c>
      <c r="G7" s="23" t="s">
        <v>60</v>
      </c>
      <c r="H7" s="25">
        <v>45444.0</v>
      </c>
    </row>
    <row r="8" ht="18.0" customHeight="1">
      <c r="A8" s="23" t="s">
        <v>128</v>
      </c>
      <c r="B8" s="23" t="s">
        <v>1855</v>
      </c>
      <c r="C8" s="23" t="s">
        <v>1856</v>
      </c>
      <c r="D8" s="23" t="s">
        <v>1857</v>
      </c>
      <c r="E8" s="23" t="s">
        <v>1858</v>
      </c>
      <c r="F8" s="23" t="s">
        <v>1859</v>
      </c>
      <c r="G8" s="23" t="s">
        <v>60</v>
      </c>
      <c r="H8" s="25">
        <v>45474.0</v>
      </c>
    </row>
    <row r="9" ht="18.0" customHeight="1">
      <c r="A9" s="23" t="s">
        <v>138</v>
      </c>
      <c r="B9" s="23" t="s">
        <v>1860</v>
      </c>
      <c r="C9" s="23" t="s">
        <v>1856</v>
      </c>
      <c r="D9" s="23" t="s">
        <v>1861</v>
      </c>
      <c r="E9" s="23" t="s">
        <v>1862</v>
      </c>
      <c r="F9" s="23" t="s">
        <v>1859</v>
      </c>
      <c r="G9" s="23" t="s">
        <v>60</v>
      </c>
      <c r="H9" s="25">
        <v>45505.0</v>
      </c>
    </row>
  </sheetData>
  <autoFilter ref="$A$1:$H$9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82C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8.13"/>
    <col customWidth="1" min="3" max="3" width="11.13"/>
    <col customWidth="1" min="4" max="4" width="15.13"/>
    <col customWidth="1" min="5" max="5" width="19.88"/>
    <col customWidth="1" min="6" max="6" width="9.25"/>
    <col customWidth="1" min="7" max="7" width="11.13"/>
    <col customWidth="1" min="8" max="8" width="12.75"/>
    <col customWidth="1" min="9" max="9" width="15.88"/>
    <col customWidth="1" min="10" max="10" width="16.25"/>
  </cols>
  <sheetData>
    <row r="1" ht="27.0" customHeight="1">
      <c r="A1" s="22" t="s">
        <v>1749</v>
      </c>
      <c r="B1" s="22" t="s">
        <v>2</v>
      </c>
      <c r="C1" s="22" t="s">
        <v>1</v>
      </c>
      <c r="D1" s="22" t="s">
        <v>1753</v>
      </c>
      <c r="E1" s="22" t="s">
        <v>1757</v>
      </c>
      <c r="F1" s="22" t="s">
        <v>1759</v>
      </c>
      <c r="G1" s="22" t="s">
        <v>1761</v>
      </c>
      <c r="H1" s="22" t="s">
        <v>1763</v>
      </c>
      <c r="I1" s="22" t="s">
        <v>1766</v>
      </c>
      <c r="J1" s="22" t="s">
        <v>1769</v>
      </c>
    </row>
    <row r="2" ht="18.0" customHeight="1">
      <c r="A2" s="23" t="s">
        <v>1863</v>
      </c>
      <c r="B2" s="23" t="s">
        <v>36</v>
      </c>
      <c r="C2" s="23" t="s">
        <v>234</v>
      </c>
      <c r="D2" s="23" t="s">
        <v>1864</v>
      </c>
      <c r="E2" s="25">
        <v>46056.65517192986</v>
      </c>
      <c r="F2" s="23" t="s">
        <v>342</v>
      </c>
      <c r="G2" s="23" t="s">
        <v>1865</v>
      </c>
      <c r="H2" s="23" t="s">
        <v>1866</v>
      </c>
      <c r="I2" s="23">
        <v>1.0</v>
      </c>
      <c r="J2" s="23" t="s">
        <v>1867</v>
      </c>
    </row>
    <row r="3" ht="18.0" customHeight="1">
      <c r="A3" s="23" t="s">
        <v>1868</v>
      </c>
      <c r="B3" s="23" t="s">
        <v>36</v>
      </c>
      <c r="C3" s="23" t="s">
        <v>489</v>
      </c>
      <c r="D3" s="23" t="s">
        <v>1869</v>
      </c>
      <c r="E3" s="25">
        <v>45959.32036743057</v>
      </c>
      <c r="F3" s="23" t="s">
        <v>11</v>
      </c>
      <c r="G3" s="23" t="s">
        <v>1870</v>
      </c>
      <c r="H3" s="23" t="s">
        <v>1583</v>
      </c>
      <c r="I3" s="23">
        <v>4.0</v>
      </c>
      <c r="J3" s="23" t="s">
        <v>1871</v>
      </c>
    </row>
    <row r="4" ht="18.0" customHeight="1">
      <c r="A4" s="23" t="s">
        <v>1872</v>
      </c>
      <c r="B4" s="23" t="s">
        <v>36</v>
      </c>
      <c r="C4" s="23" t="s">
        <v>184</v>
      </c>
      <c r="D4" s="23" t="s">
        <v>1873</v>
      </c>
      <c r="E4" s="25">
        <v>45940.34524802165</v>
      </c>
      <c r="F4" s="23" t="s">
        <v>1874</v>
      </c>
      <c r="G4" s="23" t="s">
        <v>1875</v>
      </c>
      <c r="H4" s="23" t="s">
        <v>1583</v>
      </c>
      <c r="I4" s="23">
        <v>3.0</v>
      </c>
      <c r="J4" s="23" t="s">
        <v>1876</v>
      </c>
    </row>
    <row r="5" ht="18.0" customHeight="1">
      <c r="A5" s="23" t="s">
        <v>1877</v>
      </c>
      <c r="B5" s="23" t="s">
        <v>36</v>
      </c>
      <c r="C5" s="23" t="s">
        <v>147</v>
      </c>
      <c r="D5" s="23" t="s">
        <v>1878</v>
      </c>
      <c r="E5" s="25">
        <v>45501.565937352134</v>
      </c>
      <c r="F5" s="23" t="s">
        <v>404</v>
      </c>
      <c r="G5" s="23" t="s">
        <v>1879</v>
      </c>
      <c r="H5" s="23" t="s">
        <v>1880</v>
      </c>
      <c r="I5" s="23">
        <v>3.0</v>
      </c>
      <c r="J5" s="23" t="s">
        <v>1881</v>
      </c>
    </row>
    <row r="6" ht="18.0" customHeight="1">
      <c r="A6" s="23" t="s">
        <v>1882</v>
      </c>
      <c r="B6" s="23" t="s">
        <v>36</v>
      </c>
      <c r="C6" s="23" t="s">
        <v>283</v>
      </c>
      <c r="D6" s="23" t="s">
        <v>1883</v>
      </c>
      <c r="E6" s="25">
        <v>45848.539691662416</v>
      </c>
      <c r="F6" s="23" t="s">
        <v>342</v>
      </c>
      <c r="G6" s="23" t="s">
        <v>1884</v>
      </c>
      <c r="H6" s="23" t="s">
        <v>1583</v>
      </c>
      <c r="I6" s="23">
        <v>1.0</v>
      </c>
      <c r="J6" s="23" t="s">
        <v>1885</v>
      </c>
    </row>
    <row r="7" ht="18.0" customHeight="1">
      <c r="A7" s="23" t="s">
        <v>1886</v>
      </c>
      <c r="B7" s="23" t="s">
        <v>36</v>
      </c>
      <c r="C7" s="23" t="s">
        <v>402</v>
      </c>
      <c r="D7" s="23" t="s">
        <v>1887</v>
      </c>
      <c r="E7" s="25">
        <v>46219.74402751797</v>
      </c>
      <c r="F7" s="23" t="s">
        <v>11</v>
      </c>
      <c r="G7" s="23" t="s">
        <v>1888</v>
      </c>
      <c r="H7" s="23" t="s">
        <v>1583</v>
      </c>
      <c r="I7" s="23">
        <v>1.0</v>
      </c>
      <c r="J7" s="23" t="s">
        <v>1889</v>
      </c>
    </row>
    <row r="8" ht="18.0" customHeight="1">
      <c r="A8" s="23" t="s">
        <v>1890</v>
      </c>
      <c r="B8" s="23" t="s">
        <v>68</v>
      </c>
      <c r="C8" s="23" t="s">
        <v>496</v>
      </c>
      <c r="D8" s="23" t="s">
        <v>1878</v>
      </c>
      <c r="E8" s="25">
        <v>46189.58015867276</v>
      </c>
      <c r="F8" s="23" t="s">
        <v>11</v>
      </c>
      <c r="G8" s="23" t="s">
        <v>1891</v>
      </c>
      <c r="H8" s="23" t="s">
        <v>1892</v>
      </c>
      <c r="I8" s="23">
        <v>3.0</v>
      </c>
      <c r="J8" s="23" t="s">
        <v>1881</v>
      </c>
    </row>
    <row r="9" ht="18.0" customHeight="1">
      <c r="A9" s="23" t="s">
        <v>1893</v>
      </c>
      <c r="B9" s="23" t="s">
        <v>68</v>
      </c>
      <c r="C9" s="23" t="s">
        <v>136</v>
      </c>
      <c r="D9" s="23" t="s">
        <v>1883</v>
      </c>
      <c r="E9" s="25">
        <v>45551.07799033052</v>
      </c>
      <c r="F9" s="23" t="s">
        <v>1874</v>
      </c>
      <c r="G9" s="23" t="s">
        <v>1894</v>
      </c>
      <c r="H9" s="23" t="s">
        <v>1583</v>
      </c>
      <c r="I9" s="23">
        <v>1.0</v>
      </c>
      <c r="J9" s="23" t="s">
        <v>1885</v>
      </c>
    </row>
    <row r="10" ht="18.0" customHeight="1">
      <c r="A10" s="23" t="s">
        <v>1895</v>
      </c>
      <c r="B10" s="23" t="s">
        <v>68</v>
      </c>
      <c r="C10" s="23" t="s">
        <v>424</v>
      </c>
      <c r="D10" s="23" t="s">
        <v>1887</v>
      </c>
      <c r="E10" s="25">
        <v>45601.51072916109</v>
      </c>
      <c r="F10" s="23" t="s">
        <v>404</v>
      </c>
      <c r="G10" s="23" t="s">
        <v>1896</v>
      </c>
      <c r="H10" s="23" t="s">
        <v>1583</v>
      </c>
      <c r="I10" s="23">
        <v>1.0</v>
      </c>
      <c r="J10" s="23" t="s">
        <v>1889</v>
      </c>
    </row>
    <row r="11" ht="18.0" customHeight="1">
      <c r="A11" s="23" t="s">
        <v>1897</v>
      </c>
      <c r="B11" s="23" t="s">
        <v>68</v>
      </c>
      <c r="C11" s="23" t="s">
        <v>545</v>
      </c>
      <c r="D11" s="23" t="s">
        <v>1898</v>
      </c>
      <c r="E11" s="25">
        <v>46128.361698831664</v>
      </c>
      <c r="F11" s="23" t="s">
        <v>342</v>
      </c>
      <c r="G11" s="23" t="s">
        <v>1899</v>
      </c>
      <c r="H11" s="23" t="s">
        <v>1866</v>
      </c>
      <c r="I11" s="23">
        <v>2.0</v>
      </c>
      <c r="J11" s="23" t="s">
        <v>1900</v>
      </c>
    </row>
    <row r="12" ht="18.0" customHeight="1">
      <c r="A12" s="23" t="s">
        <v>1901</v>
      </c>
      <c r="B12" s="23" t="s">
        <v>68</v>
      </c>
      <c r="C12" s="23" t="s">
        <v>43</v>
      </c>
      <c r="D12" s="23" t="s">
        <v>1902</v>
      </c>
      <c r="E12" s="25">
        <v>45690.681520423386</v>
      </c>
      <c r="F12" s="23" t="s">
        <v>11</v>
      </c>
      <c r="G12" s="23" t="s">
        <v>1903</v>
      </c>
      <c r="H12" s="23" t="s">
        <v>1583</v>
      </c>
      <c r="I12" s="23">
        <v>2.0</v>
      </c>
      <c r="J12" s="23" t="s">
        <v>1904</v>
      </c>
    </row>
    <row r="13" ht="18.0" customHeight="1">
      <c r="A13" s="23" t="s">
        <v>1905</v>
      </c>
      <c r="B13" s="23" t="s">
        <v>68</v>
      </c>
      <c r="C13" s="23" t="s">
        <v>496</v>
      </c>
      <c r="D13" s="23" t="s">
        <v>1864</v>
      </c>
      <c r="E13" s="25">
        <v>45820.52189220744</v>
      </c>
      <c r="F13" s="23" t="s">
        <v>1874</v>
      </c>
      <c r="G13" s="23" t="s">
        <v>1906</v>
      </c>
      <c r="H13" s="23" t="s">
        <v>1583</v>
      </c>
      <c r="I13" s="23">
        <v>1.0</v>
      </c>
      <c r="J13" s="23" t="s">
        <v>1867</v>
      </c>
    </row>
    <row r="14" ht="18.0" customHeight="1">
      <c r="A14" s="23" t="s">
        <v>1907</v>
      </c>
      <c r="B14" s="23" t="s">
        <v>83</v>
      </c>
      <c r="C14" s="23" t="s">
        <v>402</v>
      </c>
      <c r="D14" s="23" t="s">
        <v>1898</v>
      </c>
      <c r="E14" s="25">
        <v>45825.017659340054</v>
      </c>
      <c r="F14" s="23" t="s">
        <v>1874</v>
      </c>
      <c r="G14" s="23" t="s">
        <v>1908</v>
      </c>
      <c r="H14" s="23" t="s">
        <v>1909</v>
      </c>
      <c r="I14" s="23">
        <v>2.0</v>
      </c>
      <c r="J14" s="23" t="s">
        <v>1900</v>
      </c>
    </row>
    <row r="15" ht="18.0" customHeight="1">
      <c r="A15" s="23" t="s">
        <v>1910</v>
      </c>
      <c r="B15" s="23" t="s">
        <v>83</v>
      </c>
      <c r="C15" s="23" t="s">
        <v>336</v>
      </c>
      <c r="D15" s="23" t="s">
        <v>1902</v>
      </c>
      <c r="E15" s="25">
        <v>45453.63939885632</v>
      </c>
      <c r="F15" s="23" t="s">
        <v>404</v>
      </c>
      <c r="G15" s="23" t="s">
        <v>1911</v>
      </c>
      <c r="H15" s="23" t="s">
        <v>1583</v>
      </c>
      <c r="I15" s="23">
        <v>2.0</v>
      </c>
      <c r="J15" s="23" t="s">
        <v>1904</v>
      </c>
    </row>
    <row r="16" ht="18.0" customHeight="1">
      <c r="A16" s="23" t="s">
        <v>1912</v>
      </c>
      <c r="B16" s="23" t="s">
        <v>83</v>
      </c>
      <c r="C16" s="23" t="s">
        <v>210</v>
      </c>
      <c r="D16" s="23" t="s">
        <v>1864</v>
      </c>
      <c r="E16" s="25">
        <v>45397.38757423079</v>
      </c>
      <c r="F16" s="23" t="s">
        <v>342</v>
      </c>
      <c r="G16" s="23" t="s">
        <v>1913</v>
      </c>
      <c r="H16" s="23" t="s">
        <v>1583</v>
      </c>
      <c r="I16" s="23">
        <v>1.0</v>
      </c>
      <c r="J16" s="23" t="s">
        <v>1867</v>
      </c>
    </row>
    <row r="17" ht="18.0" customHeight="1">
      <c r="A17" s="23" t="s">
        <v>1914</v>
      </c>
      <c r="B17" s="23" t="s">
        <v>83</v>
      </c>
      <c r="C17" s="23" t="s">
        <v>241</v>
      </c>
      <c r="D17" s="23" t="s">
        <v>1869</v>
      </c>
      <c r="E17" s="25">
        <v>45321.02677120059</v>
      </c>
      <c r="F17" s="23" t="s">
        <v>11</v>
      </c>
      <c r="G17" s="23" t="s">
        <v>1915</v>
      </c>
      <c r="H17" s="23" t="s">
        <v>1892</v>
      </c>
      <c r="I17" s="23">
        <v>4.0</v>
      </c>
      <c r="J17" s="23" t="s">
        <v>1871</v>
      </c>
    </row>
    <row r="18" ht="18.0" customHeight="1">
      <c r="A18" s="23" t="s">
        <v>1916</v>
      </c>
      <c r="B18" s="23" t="s">
        <v>83</v>
      </c>
      <c r="C18" s="23" t="s">
        <v>281</v>
      </c>
      <c r="D18" s="23" t="s">
        <v>1873</v>
      </c>
      <c r="E18" s="25">
        <v>46216.790698940866</v>
      </c>
      <c r="F18" s="23" t="s">
        <v>1874</v>
      </c>
      <c r="G18" s="23" t="s">
        <v>1917</v>
      </c>
      <c r="H18" s="23" t="s">
        <v>1583</v>
      </c>
      <c r="I18" s="23">
        <v>3.0</v>
      </c>
      <c r="J18" s="23" t="s">
        <v>1876</v>
      </c>
    </row>
    <row r="19" ht="18.0" customHeight="1">
      <c r="A19" s="23" t="s">
        <v>1918</v>
      </c>
      <c r="B19" s="23" t="s">
        <v>83</v>
      </c>
      <c r="C19" s="23" t="s">
        <v>163</v>
      </c>
      <c r="D19" s="23" t="s">
        <v>1878</v>
      </c>
      <c r="E19" s="25">
        <v>45678.0936554831</v>
      </c>
      <c r="F19" s="23" t="s">
        <v>404</v>
      </c>
      <c r="G19" s="23" t="s">
        <v>1919</v>
      </c>
      <c r="H19" s="23" t="s">
        <v>1583</v>
      </c>
      <c r="I19" s="23">
        <v>3.0</v>
      </c>
      <c r="J19" s="23" t="s">
        <v>1881</v>
      </c>
    </row>
    <row r="20" ht="18.0" customHeight="1">
      <c r="A20" s="23" t="s">
        <v>1920</v>
      </c>
      <c r="B20" s="23" t="s">
        <v>94</v>
      </c>
      <c r="C20" s="23" t="s">
        <v>376</v>
      </c>
      <c r="D20" s="23" t="s">
        <v>1869</v>
      </c>
      <c r="E20" s="25">
        <v>45478.51925224485</v>
      </c>
      <c r="F20" s="23" t="s">
        <v>404</v>
      </c>
      <c r="G20" s="23" t="s">
        <v>1921</v>
      </c>
      <c r="H20" s="23" t="s">
        <v>1880</v>
      </c>
      <c r="I20" s="23">
        <v>4.0</v>
      </c>
      <c r="J20" s="23" t="s">
        <v>1871</v>
      </c>
    </row>
    <row r="21" ht="18.0" customHeight="1">
      <c r="A21" s="23" t="s">
        <v>1922</v>
      </c>
      <c r="B21" s="23" t="s">
        <v>94</v>
      </c>
      <c r="C21" s="23" t="s">
        <v>336</v>
      </c>
      <c r="D21" s="23" t="s">
        <v>1873</v>
      </c>
      <c r="E21" s="25">
        <v>45408.982196354074</v>
      </c>
      <c r="F21" s="23" t="s">
        <v>342</v>
      </c>
      <c r="G21" s="23" t="s">
        <v>1923</v>
      </c>
      <c r="H21" s="23" t="s">
        <v>1583</v>
      </c>
      <c r="I21" s="23">
        <v>3.0</v>
      </c>
      <c r="J21" s="23" t="s">
        <v>1876</v>
      </c>
    </row>
    <row r="22" ht="18.0" customHeight="1">
      <c r="A22" s="23" t="s">
        <v>1924</v>
      </c>
      <c r="B22" s="23" t="s">
        <v>94</v>
      </c>
      <c r="C22" s="23" t="s">
        <v>281</v>
      </c>
      <c r="D22" s="23" t="s">
        <v>1878</v>
      </c>
      <c r="E22" s="25">
        <v>45466.344263466075</v>
      </c>
      <c r="F22" s="23" t="s">
        <v>11</v>
      </c>
      <c r="G22" s="23" t="s">
        <v>1925</v>
      </c>
      <c r="H22" s="23" t="s">
        <v>1583</v>
      </c>
      <c r="I22" s="23">
        <v>3.0</v>
      </c>
      <c r="J22" s="23" t="s">
        <v>1881</v>
      </c>
    </row>
    <row r="23" ht="18.0" customHeight="1">
      <c r="A23" s="23" t="s">
        <v>1926</v>
      </c>
      <c r="B23" s="23" t="s">
        <v>94</v>
      </c>
      <c r="C23" s="23" t="s">
        <v>311</v>
      </c>
      <c r="D23" s="23" t="s">
        <v>1883</v>
      </c>
      <c r="E23" s="25">
        <v>45477.88544011512</v>
      </c>
      <c r="F23" s="23" t="s">
        <v>1874</v>
      </c>
      <c r="G23" s="23" t="s">
        <v>1927</v>
      </c>
      <c r="H23" s="23" t="s">
        <v>1909</v>
      </c>
      <c r="I23" s="23">
        <v>1.0</v>
      </c>
      <c r="J23" s="23" t="s">
        <v>1885</v>
      </c>
    </row>
    <row r="24" ht="18.0" customHeight="1">
      <c r="A24" s="23" t="s">
        <v>1928</v>
      </c>
      <c r="B24" s="23" t="s">
        <v>94</v>
      </c>
      <c r="C24" s="23" t="s">
        <v>412</v>
      </c>
      <c r="D24" s="23" t="s">
        <v>1887</v>
      </c>
      <c r="E24" s="25">
        <v>45961.94496052293</v>
      </c>
      <c r="F24" s="23" t="s">
        <v>404</v>
      </c>
      <c r="G24" s="23" t="s">
        <v>1929</v>
      </c>
      <c r="H24" s="23" t="s">
        <v>1583</v>
      </c>
      <c r="I24" s="23">
        <v>1.0</v>
      </c>
      <c r="J24" s="23" t="s">
        <v>1889</v>
      </c>
    </row>
    <row r="25" ht="18.0" customHeight="1">
      <c r="A25" s="23" t="s">
        <v>1930</v>
      </c>
      <c r="B25" s="23" t="s">
        <v>94</v>
      </c>
      <c r="C25" s="23" t="s">
        <v>545</v>
      </c>
      <c r="D25" s="23" t="s">
        <v>1898</v>
      </c>
      <c r="E25" s="25">
        <v>45695.63455205015</v>
      </c>
      <c r="F25" s="23" t="s">
        <v>342</v>
      </c>
      <c r="G25" s="23" t="s">
        <v>1931</v>
      </c>
      <c r="H25" s="23" t="s">
        <v>1583</v>
      </c>
      <c r="I25" s="23">
        <v>2.0</v>
      </c>
      <c r="J25" s="23" t="s">
        <v>1900</v>
      </c>
    </row>
    <row r="26" ht="18.0" customHeight="1">
      <c r="A26" s="23" t="s">
        <v>1932</v>
      </c>
      <c r="B26" s="23" t="s">
        <v>107</v>
      </c>
      <c r="C26" s="23" t="s">
        <v>198</v>
      </c>
      <c r="D26" s="23" t="s">
        <v>1883</v>
      </c>
      <c r="E26" s="25">
        <v>45535.55551942531</v>
      </c>
      <c r="F26" s="23" t="s">
        <v>342</v>
      </c>
      <c r="G26" s="23" t="s">
        <v>1933</v>
      </c>
      <c r="H26" s="23" t="s">
        <v>1866</v>
      </c>
      <c r="I26" s="23">
        <v>1.0</v>
      </c>
      <c r="J26" s="23" t="s">
        <v>1885</v>
      </c>
    </row>
    <row r="27" ht="18.0" customHeight="1">
      <c r="A27" s="23" t="s">
        <v>1934</v>
      </c>
      <c r="B27" s="23" t="s">
        <v>107</v>
      </c>
      <c r="C27" s="23" t="s">
        <v>545</v>
      </c>
      <c r="D27" s="23" t="s">
        <v>1887</v>
      </c>
      <c r="E27" s="25">
        <v>46146.118202335434</v>
      </c>
      <c r="F27" s="23" t="s">
        <v>11</v>
      </c>
      <c r="G27" s="23" t="s">
        <v>1935</v>
      </c>
      <c r="H27" s="23" t="s">
        <v>1583</v>
      </c>
      <c r="I27" s="23">
        <v>1.0</v>
      </c>
      <c r="J27" s="23" t="s">
        <v>1889</v>
      </c>
    </row>
    <row r="28" ht="18.0" customHeight="1">
      <c r="A28" s="23" t="s">
        <v>1936</v>
      </c>
      <c r="B28" s="23" t="s">
        <v>107</v>
      </c>
      <c r="C28" s="23" t="s">
        <v>257</v>
      </c>
      <c r="D28" s="23" t="s">
        <v>1898</v>
      </c>
      <c r="E28" s="25">
        <v>45500.956494557206</v>
      </c>
      <c r="F28" s="23" t="s">
        <v>1874</v>
      </c>
      <c r="G28" s="23" t="s">
        <v>1937</v>
      </c>
      <c r="H28" s="23" t="s">
        <v>1583</v>
      </c>
      <c r="I28" s="23">
        <v>2.0</v>
      </c>
      <c r="J28" s="23" t="s">
        <v>1900</v>
      </c>
    </row>
    <row r="29" ht="18.0" customHeight="1">
      <c r="A29" s="23" t="s">
        <v>1938</v>
      </c>
      <c r="B29" s="23" t="s">
        <v>107</v>
      </c>
      <c r="C29" s="23" t="s">
        <v>489</v>
      </c>
      <c r="D29" s="23" t="s">
        <v>1902</v>
      </c>
      <c r="E29" s="25">
        <v>46001.44220158341</v>
      </c>
      <c r="F29" s="23" t="s">
        <v>404</v>
      </c>
      <c r="G29" s="23" t="s">
        <v>1939</v>
      </c>
      <c r="H29" s="23" t="s">
        <v>1880</v>
      </c>
      <c r="I29" s="23">
        <v>2.0</v>
      </c>
      <c r="J29" s="23" t="s">
        <v>1904</v>
      </c>
    </row>
    <row r="30" ht="18.0" customHeight="1">
      <c r="A30" s="23" t="s">
        <v>1940</v>
      </c>
      <c r="B30" s="23" t="s">
        <v>107</v>
      </c>
      <c r="C30" s="23" t="s">
        <v>43</v>
      </c>
      <c r="D30" s="23" t="s">
        <v>1864</v>
      </c>
      <c r="E30" s="25">
        <v>45923.80250689387</v>
      </c>
      <c r="F30" s="23" t="s">
        <v>342</v>
      </c>
      <c r="G30" s="23" t="s">
        <v>1941</v>
      </c>
      <c r="H30" s="23" t="s">
        <v>1583</v>
      </c>
      <c r="I30" s="23">
        <v>1.0</v>
      </c>
      <c r="J30" s="23" t="s">
        <v>1867</v>
      </c>
    </row>
    <row r="31" ht="18.0" customHeight="1">
      <c r="A31" s="23" t="s">
        <v>1942</v>
      </c>
      <c r="B31" s="23" t="s">
        <v>107</v>
      </c>
      <c r="C31" s="23" t="s">
        <v>424</v>
      </c>
      <c r="D31" s="23" t="s">
        <v>1869</v>
      </c>
      <c r="E31" s="25">
        <v>45464.0118811375</v>
      </c>
      <c r="F31" s="23" t="s">
        <v>11</v>
      </c>
      <c r="G31" s="23" t="s">
        <v>1943</v>
      </c>
      <c r="H31" s="23" t="s">
        <v>1583</v>
      </c>
      <c r="I31" s="23">
        <v>4.0</v>
      </c>
      <c r="J31" s="23" t="s">
        <v>1871</v>
      </c>
    </row>
    <row r="32" ht="18.0" customHeight="1">
      <c r="A32" s="23" t="s">
        <v>1944</v>
      </c>
      <c r="B32" s="23" t="s">
        <v>114</v>
      </c>
      <c r="C32" s="23" t="s">
        <v>281</v>
      </c>
      <c r="D32" s="23" t="s">
        <v>1902</v>
      </c>
      <c r="E32" s="25">
        <v>45765.6654626145</v>
      </c>
      <c r="F32" s="23" t="s">
        <v>11</v>
      </c>
      <c r="G32" s="23" t="s">
        <v>1945</v>
      </c>
      <c r="H32" s="23" t="s">
        <v>1892</v>
      </c>
      <c r="I32" s="23">
        <v>2.0</v>
      </c>
      <c r="J32" s="23" t="s">
        <v>1904</v>
      </c>
    </row>
    <row r="33" ht="18.0" customHeight="1">
      <c r="A33" s="23" t="s">
        <v>1946</v>
      </c>
      <c r="B33" s="23" t="s">
        <v>114</v>
      </c>
      <c r="C33" s="23" t="s">
        <v>496</v>
      </c>
      <c r="D33" s="23" t="s">
        <v>1864</v>
      </c>
      <c r="E33" s="25">
        <v>45942.98631479754</v>
      </c>
      <c r="F33" s="23" t="s">
        <v>1874</v>
      </c>
      <c r="G33" s="23" t="s">
        <v>1947</v>
      </c>
      <c r="H33" s="23" t="s">
        <v>1583</v>
      </c>
      <c r="I33" s="23">
        <v>1.0</v>
      </c>
      <c r="J33" s="23" t="s">
        <v>1867</v>
      </c>
    </row>
    <row r="34" ht="18.0" customHeight="1">
      <c r="A34" s="23" t="s">
        <v>1948</v>
      </c>
      <c r="B34" s="23" t="s">
        <v>114</v>
      </c>
      <c r="C34" s="23" t="s">
        <v>257</v>
      </c>
      <c r="D34" s="23" t="s">
        <v>1869</v>
      </c>
      <c r="E34" s="25">
        <v>46216.396207383834</v>
      </c>
      <c r="F34" s="23" t="s">
        <v>404</v>
      </c>
      <c r="G34" s="23" t="s">
        <v>1949</v>
      </c>
      <c r="H34" s="23" t="s">
        <v>1583</v>
      </c>
      <c r="I34" s="23">
        <v>4.0</v>
      </c>
      <c r="J34" s="23" t="s">
        <v>1871</v>
      </c>
    </row>
    <row r="35" ht="18.0" customHeight="1">
      <c r="A35" s="23" t="s">
        <v>1950</v>
      </c>
      <c r="B35" s="23" t="s">
        <v>114</v>
      </c>
      <c r="C35" s="23" t="s">
        <v>80</v>
      </c>
      <c r="D35" s="23" t="s">
        <v>1873</v>
      </c>
      <c r="E35" s="25">
        <v>46145.37476771814</v>
      </c>
      <c r="F35" s="23" t="s">
        <v>342</v>
      </c>
      <c r="G35" s="23" t="s">
        <v>1951</v>
      </c>
      <c r="H35" s="23" t="s">
        <v>1866</v>
      </c>
      <c r="I35" s="23">
        <v>3.0</v>
      </c>
      <c r="J35" s="23" t="s">
        <v>1876</v>
      </c>
    </row>
    <row r="36" ht="18.0" customHeight="1">
      <c r="A36" s="23" t="s">
        <v>1952</v>
      </c>
      <c r="B36" s="23" t="s">
        <v>114</v>
      </c>
      <c r="C36" s="23" t="s">
        <v>517</v>
      </c>
      <c r="D36" s="23" t="s">
        <v>1878</v>
      </c>
      <c r="E36" s="25">
        <v>45921.279591888655</v>
      </c>
      <c r="F36" s="23" t="s">
        <v>11</v>
      </c>
      <c r="G36" s="23" t="s">
        <v>1953</v>
      </c>
      <c r="H36" s="23" t="s">
        <v>1583</v>
      </c>
      <c r="I36" s="23">
        <v>3.0</v>
      </c>
      <c r="J36" s="23" t="s">
        <v>1881</v>
      </c>
    </row>
    <row r="37" ht="18.0" customHeight="1">
      <c r="A37" s="23" t="s">
        <v>1954</v>
      </c>
      <c r="B37" s="23" t="s">
        <v>114</v>
      </c>
      <c r="C37" s="23" t="s">
        <v>163</v>
      </c>
      <c r="D37" s="23" t="s">
        <v>1883</v>
      </c>
      <c r="E37" s="25">
        <v>46093.4842347845</v>
      </c>
      <c r="F37" s="23" t="s">
        <v>1874</v>
      </c>
      <c r="G37" s="23" t="s">
        <v>1955</v>
      </c>
      <c r="H37" s="23" t="s">
        <v>1583</v>
      </c>
      <c r="I37" s="23">
        <v>1.0</v>
      </c>
      <c r="J37" s="23" t="s">
        <v>1885</v>
      </c>
    </row>
    <row r="38" ht="18.0" customHeight="1">
      <c r="A38" s="23" t="s">
        <v>1956</v>
      </c>
      <c r="B38" s="23" t="s">
        <v>121</v>
      </c>
      <c r="C38" s="23" t="s">
        <v>496</v>
      </c>
      <c r="D38" s="23" t="s">
        <v>1873</v>
      </c>
      <c r="E38" s="25">
        <v>45687.29093202762</v>
      </c>
      <c r="F38" s="23" t="s">
        <v>1874</v>
      </c>
      <c r="G38" s="23" t="s">
        <v>1957</v>
      </c>
      <c r="H38" s="23" t="s">
        <v>1909</v>
      </c>
      <c r="I38" s="23">
        <v>3.0</v>
      </c>
      <c r="J38" s="23" t="s">
        <v>1876</v>
      </c>
    </row>
    <row r="39" ht="18.0" customHeight="1">
      <c r="A39" s="23" t="s">
        <v>1958</v>
      </c>
      <c r="B39" s="23" t="s">
        <v>121</v>
      </c>
      <c r="C39" s="23" t="s">
        <v>189</v>
      </c>
      <c r="D39" s="23" t="s">
        <v>1878</v>
      </c>
      <c r="E39" s="25">
        <v>45714.04509483301</v>
      </c>
      <c r="F39" s="23" t="s">
        <v>404</v>
      </c>
      <c r="G39" s="23" t="s">
        <v>1959</v>
      </c>
      <c r="H39" s="23" t="s">
        <v>1583</v>
      </c>
      <c r="I39" s="23">
        <v>3.0</v>
      </c>
      <c r="J39" s="23" t="s">
        <v>1881</v>
      </c>
    </row>
    <row r="40" ht="18.0" customHeight="1">
      <c r="A40" s="23" t="s">
        <v>1960</v>
      </c>
      <c r="B40" s="23" t="s">
        <v>121</v>
      </c>
      <c r="C40" s="23" t="s">
        <v>222</v>
      </c>
      <c r="D40" s="23" t="s">
        <v>1883</v>
      </c>
      <c r="E40" s="25">
        <v>45358.36829246534</v>
      </c>
      <c r="F40" s="23" t="s">
        <v>342</v>
      </c>
      <c r="G40" s="23" t="s">
        <v>1961</v>
      </c>
      <c r="H40" s="23" t="s">
        <v>1583</v>
      </c>
      <c r="I40" s="23">
        <v>1.0</v>
      </c>
      <c r="J40" s="23" t="s">
        <v>1885</v>
      </c>
    </row>
    <row r="41" ht="18.0" customHeight="1">
      <c r="A41" s="23" t="s">
        <v>1962</v>
      </c>
      <c r="B41" s="23" t="s">
        <v>121</v>
      </c>
      <c r="C41" s="23" t="s">
        <v>353</v>
      </c>
      <c r="D41" s="23" t="s">
        <v>1887</v>
      </c>
      <c r="E41" s="25">
        <v>45622.202258646255</v>
      </c>
      <c r="F41" s="23" t="s">
        <v>11</v>
      </c>
      <c r="G41" s="23" t="s">
        <v>1963</v>
      </c>
      <c r="H41" s="23" t="s">
        <v>1892</v>
      </c>
      <c r="I41" s="23">
        <v>1.0</v>
      </c>
      <c r="J41" s="23" t="s">
        <v>1889</v>
      </c>
    </row>
    <row r="42" ht="18.0" customHeight="1">
      <c r="A42" s="23" t="s">
        <v>1964</v>
      </c>
      <c r="B42" s="23" t="s">
        <v>121</v>
      </c>
      <c r="C42" s="23" t="s">
        <v>412</v>
      </c>
      <c r="D42" s="23" t="s">
        <v>1898</v>
      </c>
      <c r="E42" s="25">
        <v>45695.30740507413</v>
      </c>
      <c r="F42" s="23" t="s">
        <v>1874</v>
      </c>
      <c r="G42" s="23" t="s">
        <v>1965</v>
      </c>
      <c r="H42" s="23" t="s">
        <v>1583</v>
      </c>
      <c r="I42" s="23">
        <v>2.0</v>
      </c>
      <c r="J42" s="23" t="s">
        <v>1900</v>
      </c>
    </row>
    <row r="43" ht="18.0" customHeight="1">
      <c r="A43" s="23" t="s">
        <v>1966</v>
      </c>
      <c r="B43" s="23" t="s">
        <v>121</v>
      </c>
      <c r="C43" s="23" t="s">
        <v>496</v>
      </c>
      <c r="D43" s="23" t="s">
        <v>1902</v>
      </c>
      <c r="E43" s="25">
        <v>45591.224227714585</v>
      </c>
      <c r="F43" s="23" t="s">
        <v>404</v>
      </c>
      <c r="G43" s="23" t="s">
        <v>1967</v>
      </c>
      <c r="H43" s="23" t="s">
        <v>1583</v>
      </c>
      <c r="I43" s="23">
        <v>2.0</v>
      </c>
      <c r="J43" s="23" t="s">
        <v>1904</v>
      </c>
    </row>
    <row r="44" ht="18.0" customHeight="1">
      <c r="A44" s="23" t="s">
        <v>1968</v>
      </c>
      <c r="B44" s="23" t="s">
        <v>131</v>
      </c>
      <c r="C44" s="23" t="s">
        <v>353</v>
      </c>
      <c r="D44" s="23" t="s">
        <v>1887</v>
      </c>
      <c r="E44" s="25">
        <v>46131.47685409943</v>
      </c>
      <c r="F44" s="23" t="s">
        <v>404</v>
      </c>
      <c r="G44" s="23" t="s">
        <v>1969</v>
      </c>
      <c r="H44" s="23" t="s">
        <v>1880</v>
      </c>
      <c r="I44" s="23">
        <v>1.0</v>
      </c>
      <c r="J44" s="23" t="s">
        <v>1889</v>
      </c>
    </row>
    <row r="45" ht="18.0" customHeight="1">
      <c r="A45" s="23" t="s">
        <v>1970</v>
      </c>
      <c r="B45" s="23" t="s">
        <v>131</v>
      </c>
      <c r="C45" s="23" t="s">
        <v>311</v>
      </c>
      <c r="D45" s="23" t="s">
        <v>1898</v>
      </c>
      <c r="E45" s="25">
        <v>45403.31470731902</v>
      </c>
      <c r="F45" s="23" t="s">
        <v>342</v>
      </c>
      <c r="G45" s="23" t="s">
        <v>1971</v>
      </c>
      <c r="H45" s="23" t="s">
        <v>1583</v>
      </c>
      <c r="I45" s="23">
        <v>2.0</v>
      </c>
      <c r="J45" s="23" t="s">
        <v>1900</v>
      </c>
    </row>
    <row r="46" ht="18.0" customHeight="1">
      <c r="A46" s="23" t="s">
        <v>1972</v>
      </c>
      <c r="B46" s="23" t="s">
        <v>131</v>
      </c>
      <c r="C46" s="23" t="s">
        <v>241</v>
      </c>
      <c r="D46" s="23" t="s">
        <v>1902</v>
      </c>
      <c r="E46" s="25">
        <v>45952.35291769728</v>
      </c>
      <c r="F46" s="23" t="s">
        <v>11</v>
      </c>
      <c r="G46" s="23" t="s">
        <v>1973</v>
      </c>
      <c r="H46" s="23" t="s">
        <v>1583</v>
      </c>
      <c r="I46" s="23">
        <v>2.0</v>
      </c>
      <c r="J46" s="23" t="s">
        <v>1904</v>
      </c>
    </row>
    <row r="47" ht="18.0" customHeight="1">
      <c r="A47" s="23" t="s">
        <v>1974</v>
      </c>
      <c r="B47" s="23" t="s">
        <v>131</v>
      </c>
      <c r="C47" s="23" t="s">
        <v>311</v>
      </c>
      <c r="D47" s="23" t="s">
        <v>1864</v>
      </c>
      <c r="E47" s="25">
        <v>45754.873331552604</v>
      </c>
      <c r="F47" s="23" t="s">
        <v>1874</v>
      </c>
      <c r="G47" s="23" t="s">
        <v>1975</v>
      </c>
      <c r="H47" s="23" t="s">
        <v>1909</v>
      </c>
      <c r="I47" s="23">
        <v>1.0</v>
      </c>
      <c r="J47" s="23" t="s">
        <v>1867</v>
      </c>
    </row>
    <row r="48" ht="18.0" customHeight="1">
      <c r="A48" s="23" t="s">
        <v>1976</v>
      </c>
      <c r="B48" s="23" t="s">
        <v>131</v>
      </c>
      <c r="C48" s="23" t="s">
        <v>175</v>
      </c>
      <c r="D48" s="23" t="s">
        <v>1869</v>
      </c>
      <c r="E48" s="25">
        <v>45844.698650804814</v>
      </c>
      <c r="F48" s="23" t="s">
        <v>404</v>
      </c>
      <c r="G48" s="23" t="s">
        <v>1977</v>
      </c>
      <c r="H48" s="23" t="s">
        <v>1583</v>
      </c>
      <c r="I48" s="23">
        <v>4.0</v>
      </c>
      <c r="J48" s="23" t="s">
        <v>1871</v>
      </c>
    </row>
    <row r="49" ht="18.0" customHeight="1">
      <c r="A49" s="23" t="s">
        <v>1978</v>
      </c>
      <c r="B49" s="23" t="s">
        <v>131</v>
      </c>
      <c r="C49" s="23" t="s">
        <v>353</v>
      </c>
      <c r="D49" s="23" t="s">
        <v>1873</v>
      </c>
      <c r="E49" s="25">
        <v>45485.00615945994</v>
      </c>
      <c r="F49" s="23" t="s">
        <v>342</v>
      </c>
      <c r="G49" s="23" t="s">
        <v>1979</v>
      </c>
      <c r="H49" s="23" t="s">
        <v>1583</v>
      </c>
      <c r="I49" s="23">
        <v>3.0</v>
      </c>
      <c r="J49" s="23" t="s">
        <v>1876</v>
      </c>
    </row>
    <row r="50" ht="18.0" customHeight="1">
      <c r="A50" s="23" t="s">
        <v>1980</v>
      </c>
      <c r="B50" s="23" t="s">
        <v>141</v>
      </c>
      <c r="C50" s="23" t="s">
        <v>264</v>
      </c>
      <c r="D50" s="23" t="s">
        <v>1864</v>
      </c>
      <c r="E50" s="25">
        <v>45543.37292711716</v>
      </c>
      <c r="F50" s="23" t="s">
        <v>342</v>
      </c>
      <c r="G50" s="23" t="s">
        <v>1981</v>
      </c>
      <c r="H50" s="23" t="s">
        <v>1866</v>
      </c>
      <c r="I50" s="23">
        <v>1.0</v>
      </c>
      <c r="J50" s="23" t="s">
        <v>1867</v>
      </c>
    </row>
    <row r="51" ht="18.0" customHeight="1">
      <c r="A51" s="23" t="s">
        <v>1982</v>
      </c>
      <c r="B51" s="23" t="s">
        <v>141</v>
      </c>
      <c r="C51" s="23" t="s">
        <v>412</v>
      </c>
      <c r="D51" s="23" t="s">
        <v>1869</v>
      </c>
      <c r="E51" s="25">
        <v>45568.595390537055</v>
      </c>
      <c r="F51" s="23" t="s">
        <v>11</v>
      </c>
      <c r="G51" s="23" t="s">
        <v>1983</v>
      </c>
      <c r="H51" s="23" t="s">
        <v>1583</v>
      </c>
      <c r="I51" s="23">
        <v>4.0</v>
      </c>
      <c r="J51" s="23" t="s">
        <v>1871</v>
      </c>
    </row>
    <row r="52" ht="18.0" customHeight="1">
      <c r="A52" s="23" t="s">
        <v>1984</v>
      </c>
      <c r="B52" s="23" t="s">
        <v>141</v>
      </c>
      <c r="C52" s="23" t="s">
        <v>112</v>
      </c>
      <c r="D52" s="23" t="s">
        <v>1873</v>
      </c>
      <c r="E52" s="25">
        <v>45439.06472825678</v>
      </c>
      <c r="F52" s="23" t="s">
        <v>1874</v>
      </c>
      <c r="G52" s="23" t="s">
        <v>1985</v>
      </c>
      <c r="H52" s="23" t="s">
        <v>1583</v>
      </c>
      <c r="I52" s="23">
        <v>3.0</v>
      </c>
      <c r="J52" s="23" t="s">
        <v>1876</v>
      </c>
    </row>
    <row r="53" ht="18.0" customHeight="1">
      <c r="A53" s="23" t="s">
        <v>1986</v>
      </c>
      <c r="B53" s="23" t="s">
        <v>141</v>
      </c>
      <c r="C53" s="23" t="s">
        <v>136</v>
      </c>
      <c r="D53" s="23" t="s">
        <v>1878</v>
      </c>
      <c r="E53" s="25">
        <v>45457.86372439633</v>
      </c>
      <c r="F53" s="23" t="s">
        <v>404</v>
      </c>
      <c r="G53" s="23" t="s">
        <v>1987</v>
      </c>
      <c r="H53" s="23" t="s">
        <v>1880</v>
      </c>
      <c r="I53" s="23">
        <v>3.0</v>
      </c>
      <c r="J53" s="23" t="s">
        <v>1881</v>
      </c>
    </row>
    <row r="54" ht="18.0" customHeight="1">
      <c r="A54" s="23" t="s">
        <v>1988</v>
      </c>
      <c r="B54" s="23" t="s">
        <v>141</v>
      </c>
      <c r="C54" s="23" t="s">
        <v>122</v>
      </c>
      <c r="D54" s="23" t="s">
        <v>1883</v>
      </c>
      <c r="E54" s="25">
        <v>45811.01847603358</v>
      </c>
      <c r="F54" s="23" t="s">
        <v>342</v>
      </c>
      <c r="G54" s="23" t="s">
        <v>1989</v>
      </c>
      <c r="H54" s="23" t="s">
        <v>1583</v>
      </c>
      <c r="I54" s="23">
        <v>1.0</v>
      </c>
      <c r="J54" s="23" t="s">
        <v>1885</v>
      </c>
    </row>
    <row r="55" ht="18.0" customHeight="1">
      <c r="A55" s="23" t="s">
        <v>1990</v>
      </c>
      <c r="B55" s="23" t="s">
        <v>141</v>
      </c>
      <c r="C55" s="23" t="s">
        <v>507</v>
      </c>
      <c r="D55" s="23" t="s">
        <v>1887</v>
      </c>
      <c r="E55" s="25">
        <v>45506.67445346364</v>
      </c>
      <c r="F55" s="23" t="s">
        <v>11</v>
      </c>
      <c r="G55" s="23" t="s">
        <v>1991</v>
      </c>
      <c r="H55" s="23" t="s">
        <v>1583</v>
      </c>
      <c r="I55" s="23">
        <v>1.0</v>
      </c>
      <c r="J55" s="23" t="s">
        <v>1889</v>
      </c>
    </row>
    <row r="56" ht="18.0" customHeight="1">
      <c r="A56" s="23" t="s">
        <v>1992</v>
      </c>
      <c r="B56" s="23" t="s">
        <v>150</v>
      </c>
      <c r="C56" s="23" t="s">
        <v>320</v>
      </c>
      <c r="D56" s="23" t="s">
        <v>1878</v>
      </c>
      <c r="E56" s="25">
        <v>45426.860149006825</v>
      </c>
      <c r="F56" s="23" t="s">
        <v>11</v>
      </c>
      <c r="G56" s="23" t="s">
        <v>1993</v>
      </c>
      <c r="H56" s="23" t="s">
        <v>1892</v>
      </c>
      <c r="I56" s="23">
        <v>3.0</v>
      </c>
      <c r="J56" s="23" t="s">
        <v>1881</v>
      </c>
    </row>
    <row r="57" ht="18.0" customHeight="1">
      <c r="A57" s="23" t="s">
        <v>1994</v>
      </c>
      <c r="B57" s="23" t="s">
        <v>150</v>
      </c>
      <c r="C57" s="23" t="s">
        <v>112</v>
      </c>
      <c r="D57" s="23" t="s">
        <v>1883</v>
      </c>
      <c r="E57" s="25">
        <v>45406.8562291374</v>
      </c>
      <c r="F57" s="23" t="s">
        <v>1874</v>
      </c>
      <c r="G57" s="23" t="s">
        <v>1995</v>
      </c>
      <c r="H57" s="23" t="s">
        <v>1583</v>
      </c>
      <c r="I57" s="23">
        <v>1.0</v>
      </c>
      <c r="J57" s="23" t="s">
        <v>1885</v>
      </c>
    </row>
    <row r="58" ht="18.0" customHeight="1">
      <c r="A58" s="23" t="s">
        <v>1996</v>
      </c>
      <c r="B58" s="23" t="s">
        <v>150</v>
      </c>
      <c r="C58" s="23" t="s">
        <v>198</v>
      </c>
      <c r="D58" s="23" t="s">
        <v>1887</v>
      </c>
      <c r="E58" s="25">
        <v>45986.26380737219</v>
      </c>
      <c r="F58" s="23" t="s">
        <v>404</v>
      </c>
      <c r="G58" s="23" t="s">
        <v>1997</v>
      </c>
      <c r="H58" s="23" t="s">
        <v>1583</v>
      </c>
      <c r="I58" s="23">
        <v>1.0</v>
      </c>
      <c r="J58" s="23" t="s">
        <v>1889</v>
      </c>
    </row>
    <row r="59" ht="18.0" customHeight="1">
      <c r="A59" s="23" t="s">
        <v>1998</v>
      </c>
      <c r="B59" s="23" t="s">
        <v>150</v>
      </c>
      <c r="C59" s="23" t="s">
        <v>234</v>
      </c>
      <c r="D59" s="23" t="s">
        <v>1898</v>
      </c>
      <c r="E59" s="25">
        <v>45700.193980901735</v>
      </c>
      <c r="F59" s="23" t="s">
        <v>342</v>
      </c>
      <c r="G59" s="23" t="s">
        <v>1999</v>
      </c>
      <c r="H59" s="23" t="s">
        <v>1866</v>
      </c>
      <c r="I59" s="23">
        <v>2.0</v>
      </c>
      <c r="J59" s="23" t="s">
        <v>1900</v>
      </c>
    </row>
    <row r="60" ht="18.0" customHeight="1">
      <c r="A60" s="23" t="s">
        <v>2000</v>
      </c>
      <c r="B60" s="23" t="s">
        <v>150</v>
      </c>
      <c r="C60" s="23" t="s">
        <v>122</v>
      </c>
      <c r="D60" s="23" t="s">
        <v>1902</v>
      </c>
      <c r="E60" s="25">
        <v>46169.22647051001</v>
      </c>
      <c r="F60" s="23" t="s">
        <v>11</v>
      </c>
      <c r="G60" s="23" t="s">
        <v>2001</v>
      </c>
      <c r="H60" s="23" t="s">
        <v>1583</v>
      </c>
      <c r="I60" s="23">
        <v>2.0</v>
      </c>
      <c r="J60" s="23" t="s">
        <v>1904</v>
      </c>
    </row>
    <row r="61" ht="18.0" customHeight="1">
      <c r="A61" s="23" t="s">
        <v>2002</v>
      </c>
      <c r="B61" s="23" t="s">
        <v>150</v>
      </c>
      <c r="C61" s="23" t="s">
        <v>376</v>
      </c>
      <c r="D61" s="23" t="s">
        <v>1864</v>
      </c>
      <c r="E61" s="25">
        <v>45342.44719444844</v>
      </c>
      <c r="F61" s="23" t="s">
        <v>1874</v>
      </c>
      <c r="G61" s="23" t="s">
        <v>2003</v>
      </c>
      <c r="H61" s="23" t="s">
        <v>1583</v>
      </c>
      <c r="I61" s="23">
        <v>1.0</v>
      </c>
      <c r="J61" s="23" t="s">
        <v>1867</v>
      </c>
    </row>
    <row r="62" ht="18.0" customHeight="1">
      <c r="A62" s="23" t="s">
        <v>2004</v>
      </c>
      <c r="B62" s="23" t="s">
        <v>162</v>
      </c>
      <c r="C62" s="23" t="s">
        <v>136</v>
      </c>
      <c r="D62" s="23" t="s">
        <v>1898</v>
      </c>
      <c r="E62" s="25">
        <v>45882.45854934305</v>
      </c>
      <c r="F62" s="23" t="s">
        <v>1874</v>
      </c>
      <c r="G62" s="23" t="s">
        <v>2005</v>
      </c>
      <c r="H62" s="23" t="s">
        <v>1909</v>
      </c>
      <c r="I62" s="23">
        <v>2.0</v>
      </c>
      <c r="J62" s="23" t="s">
        <v>1900</v>
      </c>
    </row>
    <row r="63" ht="18.0" customHeight="1">
      <c r="A63" s="23" t="s">
        <v>2006</v>
      </c>
      <c r="B63" s="23" t="s">
        <v>162</v>
      </c>
      <c r="C63" s="23" t="s">
        <v>241</v>
      </c>
      <c r="D63" s="23" t="s">
        <v>1902</v>
      </c>
      <c r="E63" s="25">
        <v>45829.40616892488</v>
      </c>
      <c r="F63" s="23" t="s">
        <v>404</v>
      </c>
      <c r="G63" s="23" t="s">
        <v>2007</v>
      </c>
      <c r="H63" s="23" t="s">
        <v>1583</v>
      </c>
      <c r="I63" s="23">
        <v>2.0</v>
      </c>
      <c r="J63" s="23" t="s">
        <v>1904</v>
      </c>
    </row>
    <row r="64" ht="18.0" customHeight="1">
      <c r="A64" s="23" t="s">
        <v>2008</v>
      </c>
      <c r="B64" s="23" t="s">
        <v>162</v>
      </c>
      <c r="C64" s="23" t="s">
        <v>517</v>
      </c>
      <c r="D64" s="23" t="s">
        <v>1864</v>
      </c>
      <c r="E64" s="25">
        <v>45778.659730964806</v>
      </c>
      <c r="F64" s="23" t="s">
        <v>342</v>
      </c>
      <c r="G64" s="23" t="s">
        <v>2009</v>
      </c>
      <c r="H64" s="23" t="s">
        <v>1583</v>
      </c>
      <c r="I64" s="23">
        <v>1.0</v>
      </c>
      <c r="J64" s="23" t="s">
        <v>1867</v>
      </c>
    </row>
    <row r="65" ht="18.0" customHeight="1">
      <c r="A65" s="23" t="s">
        <v>2010</v>
      </c>
      <c r="B65" s="23" t="s">
        <v>162</v>
      </c>
      <c r="C65" s="23" t="s">
        <v>353</v>
      </c>
      <c r="D65" s="23" t="s">
        <v>1869</v>
      </c>
      <c r="E65" s="25">
        <v>45866.63847498759</v>
      </c>
      <c r="F65" s="23" t="s">
        <v>11</v>
      </c>
      <c r="G65" s="23" t="s">
        <v>2011</v>
      </c>
      <c r="H65" s="23" t="s">
        <v>1892</v>
      </c>
      <c r="I65" s="23">
        <v>4.0</v>
      </c>
      <c r="J65" s="23" t="s">
        <v>1871</v>
      </c>
    </row>
    <row r="66" ht="18.0" customHeight="1">
      <c r="A66" s="23" t="s">
        <v>2012</v>
      </c>
      <c r="B66" s="23" t="s">
        <v>162</v>
      </c>
      <c r="C66" s="23" t="s">
        <v>353</v>
      </c>
      <c r="D66" s="23" t="s">
        <v>1873</v>
      </c>
      <c r="E66" s="25">
        <v>46075.54884581175</v>
      </c>
      <c r="F66" s="23" t="s">
        <v>1874</v>
      </c>
      <c r="G66" s="23" t="s">
        <v>2013</v>
      </c>
      <c r="H66" s="23" t="s">
        <v>1583</v>
      </c>
      <c r="I66" s="23">
        <v>3.0</v>
      </c>
      <c r="J66" s="23" t="s">
        <v>1876</v>
      </c>
    </row>
    <row r="67" ht="18.0" customHeight="1">
      <c r="A67" s="23" t="s">
        <v>2014</v>
      </c>
      <c r="B67" s="23" t="s">
        <v>162</v>
      </c>
      <c r="C67" s="23" t="s">
        <v>412</v>
      </c>
      <c r="D67" s="23" t="s">
        <v>1878</v>
      </c>
      <c r="E67" s="25">
        <v>45525.77412440372</v>
      </c>
      <c r="F67" s="23" t="s">
        <v>404</v>
      </c>
      <c r="G67" s="23" t="s">
        <v>2015</v>
      </c>
      <c r="H67" s="23" t="s">
        <v>1583</v>
      </c>
      <c r="I67" s="23">
        <v>3.0</v>
      </c>
      <c r="J67" s="23" t="s">
        <v>1881</v>
      </c>
    </row>
    <row r="68" ht="18.0" customHeight="1">
      <c r="A68" s="23" t="s">
        <v>2016</v>
      </c>
      <c r="B68" s="23" t="s">
        <v>170</v>
      </c>
      <c r="C68" s="23" t="s">
        <v>241</v>
      </c>
      <c r="D68" s="23" t="s">
        <v>1869</v>
      </c>
      <c r="E68" s="25">
        <v>46099.26331796544</v>
      </c>
      <c r="F68" s="23" t="s">
        <v>404</v>
      </c>
      <c r="G68" s="23" t="s">
        <v>2017</v>
      </c>
      <c r="H68" s="23" t="s">
        <v>1880</v>
      </c>
      <c r="I68" s="23">
        <v>4.0</v>
      </c>
      <c r="J68" s="23" t="s">
        <v>1871</v>
      </c>
    </row>
    <row r="69" ht="18.0" customHeight="1">
      <c r="A69" s="23" t="s">
        <v>2018</v>
      </c>
      <c r="B69" s="23" t="s">
        <v>170</v>
      </c>
      <c r="C69" s="23" t="s">
        <v>296</v>
      </c>
      <c r="D69" s="23" t="s">
        <v>1873</v>
      </c>
      <c r="E69" s="25">
        <v>45659.99143850501</v>
      </c>
      <c r="F69" s="23" t="s">
        <v>342</v>
      </c>
      <c r="G69" s="23" t="s">
        <v>2019</v>
      </c>
      <c r="H69" s="23" t="s">
        <v>1583</v>
      </c>
      <c r="I69" s="23">
        <v>3.0</v>
      </c>
      <c r="J69" s="23" t="s">
        <v>1876</v>
      </c>
    </row>
    <row r="70" ht="18.0" customHeight="1">
      <c r="A70" s="23" t="s">
        <v>2020</v>
      </c>
      <c r="B70" s="23" t="s">
        <v>170</v>
      </c>
      <c r="C70" s="23" t="s">
        <v>222</v>
      </c>
      <c r="D70" s="23" t="s">
        <v>1878</v>
      </c>
      <c r="E70" s="25">
        <v>45477.45180698298</v>
      </c>
      <c r="F70" s="23" t="s">
        <v>11</v>
      </c>
      <c r="G70" s="23" t="s">
        <v>2021</v>
      </c>
      <c r="H70" s="23" t="s">
        <v>1583</v>
      </c>
      <c r="I70" s="23">
        <v>3.0</v>
      </c>
      <c r="J70" s="23" t="s">
        <v>1881</v>
      </c>
    </row>
    <row r="71" ht="18.0" customHeight="1">
      <c r="A71" s="23" t="s">
        <v>2022</v>
      </c>
      <c r="B71" s="23" t="s">
        <v>170</v>
      </c>
      <c r="C71" s="23" t="s">
        <v>402</v>
      </c>
      <c r="D71" s="23" t="s">
        <v>1883</v>
      </c>
      <c r="E71" s="25">
        <v>45621.35876686149</v>
      </c>
      <c r="F71" s="23" t="s">
        <v>1874</v>
      </c>
      <c r="G71" s="23" t="s">
        <v>2023</v>
      </c>
      <c r="H71" s="23" t="s">
        <v>1909</v>
      </c>
      <c r="I71" s="23">
        <v>1.0</v>
      </c>
      <c r="J71" s="23" t="s">
        <v>1885</v>
      </c>
    </row>
    <row r="72" ht="18.0" customHeight="1">
      <c r="A72" s="23" t="s">
        <v>2024</v>
      </c>
      <c r="B72" s="23" t="s">
        <v>170</v>
      </c>
      <c r="C72" s="23" t="s">
        <v>311</v>
      </c>
      <c r="D72" s="23" t="s">
        <v>1887</v>
      </c>
      <c r="E72" s="25">
        <v>45918.86509496672</v>
      </c>
      <c r="F72" s="23" t="s">
        <v>404</v>
      </c>
      <c r="G72" s="23" t="s">
        <v>2025</v>
      </c>
      <c r="H72" s="23" t="s">
        <v>1583</v>
      </c>
      <c r="I72" s="23">
        <v>1.0</v>
      </c>
      <c r="J72" s="23" t="s">
        <v>1889</v>
      </c>
    </row>
    <row r="73" ht="18.0" customHeight="1">
      <c r="A73" s="23" t="s">
        <v>2026</v>
      </c>
      <c r="B73" s="23" t="s">
        <v>170</v>
      </c>
      <c r="C73" s="23" t="s">
        <v>527</v>
      </c>
      <c r="D73" s="23" t="s">
        <v>1898</v>
      </c>
      <c r="E73" s="25">
        <v>45534.92255910463</v>
      </c>
      <c r="F73" s="23" t="s">
        <v>342</v>
      </c>
      <c r="G73" s="23" t="s">
        <v>2027</v>
      </c>
      <c r="H73" s="23" t="s">
        <v>1583</v>
      </c>
      <c r="I73" s="23">
        <v>2.0</v>
      </c>
      <c r="J73" s="23" t="s">
        <v>1900</v>
      </c>
    </row>
    <row r="74" ht="18.0" customHeight="1">
      <c r="A74" s="23" t="s">
        <v>2028</v>
      </c>
      <c r="B74" s="23" t="s">
        <v>182</v>
      </c>
      <c r="C74" s="23" t="s">
        <v>136</v>
      </c>
      <c r="D74" s="23" t="s">
        <v>1883</v>
      </c>
      <c r="E74" s="25">
        <v>45769.81765539665</v>
      </c>
      <c r="F74" s="23" t="s">
        <v>342</v>
      </c>
      <c r="G74" s="23" t="s">
        <v>2029</v>
      </c>
      <c r="H74" s="23" t="s">
        <v>1866</v>
      </c>
      <c r="I74" s="23">
        <v>1.0</v>
      </c>
      <c r="J74" s="23" t="s">
        <v>1885</v>
      </c>
    </row>
    <row r="75" ht="18.0" customHeight="1">
      <c r="A75" s="23" t="s">
        <v>2030</v>
      </c>
      <c r="B75" s="23" t="s">
        <v>182</v>
      </c>
      <c r="C75" s="23" t="s">
        <v>331</v>
      </c>
      <c r="D75" s="23" t="s">
        <v>1887</v>
      </c>
      <c r="E75" s="25">
        <v>46168.472331892</v>
      </c>
      <c r="F75" s="23" t="s">
        <v>11</v>
      </c>
      <c r="G75" s="23" t="s">
        <v>2031</v>
      </c>
      <c r="H75" s="23" t="s">
        <v>1583</v>
      </c>
      <c r="I75" s="23">
        <v>1.0</v>
      </c>
      <c r="J75" s="23" t="s">
        <v>1889</v>
      </c>
    </row>
    <row r="76" ht="18.0" customHeight="1">
      <c r="A76" s="23" t="s">
        <v>2032</v>
      </c>
      <c r="B76" s="23" t="s">
        <v>182</v>
      </c>
      <c r="C76" s="23" t="s">
        <v>311</v>
      </c>
      <c r="D76" s="23" t="s">
        <v>1898</v>
      </c>
      <c r="E76" s="25">
        <v>45391.358160561416</v>
      </c>
      <c r="F76" s="23" t="s">
        <v>1874</v>
      </c>
      <c r="G76" s="23" t="s">
        <v>2033</v>
      </c>
      <c r="H76" s="23" t="s">
        <v>1583</v>
      </c>
      <c r="I76" s="23">
        <v>2.0</v>
      </c>
      <c r="J76" s="23" t="s">
        <v>1900</v>
      </c>
    </row>
    <row r="77" ht="18.0" customHeight="1">
      <c r="A77" s="23" t="s">
        <v>2034</v>
      </c>
      <c r="B77" s="23" t="s">
        <v>182</v>
      </c>
      <c r="C77" s="23" t="s">
        <v>281</v>
      </c>
      <c r="D77" s="23" t="s">
        <v>1902</v>
      </c>
      <c r="E77" s="25">
        <v>45786.82029956835</v>
      </c>
      <c r="F77" s="23" t="s">
        <v>404</v>
      </c>
      <c r="G77" s="23" t="s">
        <v>2035</v>
      </c>
      <c r="H77" s="23" t="s">
        <v>1880</v>
      </c>
      <c r="I77" s="23">
        <v>2.0</v>
      </c>
      <c r="J77" s="23" t="s">
        <v>1904</v>
      </c>
    </row>
    <row r="78" ht="18.0" customHeight="1">
      <c r="A78" s="23" t="s">
        <v>2036</v>
      </c>
      <c r="B78" s="23" t="s">
        <v>182</v>
      </c>
      <c r="C78" s="23" t="s">
        <v>424</v>
      </c>
      <c r="D78" s="23" t="s">
        <v>1864</v>
      </c>
      <c r="E78" s="25">
        <v>45416.66394223645</v>
      </c>
      <c r="F78" s="23" t="s">
        <v>342</v>
      </c>
      <c r="G78" s="23" t="s">
        <v>2037</v>
      </c>
      <c r="H78" s="23" t="s">
        <v>1583</v>
      </c>
      <c r="I78" s="23">
        <v>1.0</v>
      </c>
      <c r="J78" s="23" t="s">
        <v>1867</v>
      </c>
    </row>
    <row r="79" ht="18.0" customHeight="1">
      <c r="A79" s="23" t="s">
        <v>2038</v>
      </c>
      <c r="B79" s="23" t="s">
        <v>182</v>
      </c>
      <c r="C79" s="23" t="s">
        <v>175</v>
      </c>
      <c r="D79" s="23" t="s">
        <v>1869</v>
      </c>
      <c r="E79" s="25">
        <v>45729.77035114006</v>
      </c>
      <c r="F79" s="23" t="s">
        <v>11</v>
      </c>
      <c r="G79" s="23" t="s">
        <v>2039</v>
      </c>
      <c r="H79" s="23" t="s">
        <v>1583</v>
      </c>
      <c r="I79" s="23">
        <v>4.0</v>
      </c>
      <c r="J79" s="23" t="s">
        <v>1871</v>
      </c>
    </row>
    <row r="80" ht="18.0" customHeight="1">
      <c r="A80" s="23" t="s">
        <v>2040</v>
      </c>
      <c r="B80" s="23" t="s">
        <v>190</v>
      </c>
      <c r="C80" s="23" t="s">
        <v>189</v>
      </c>
      <c r="D80" s="23" t="s">
        <v>1902</v>
      </c>
      <c r="E80" s="25">
        <v>45904.874615570065</v>
      </c>
      <c r="F80" s="23" t="s">
        <v>11</v>
      </c>
      <c r="G80" s="23" t="s">
        <v>2041</v>
      </c>
      <c r="H80" s="23" t="s">
        <v>1892</v>
      </c>
      <c r="I80" s="23">
        <v>2.0</v>
      </c>
      <c r="J80" s="23" t="s">
        <v>1904</v>
      </c>
    </row>
    <row r="81" ht="18.0" customHeight="1">
      <c r="A81" s="23" t="s">
        <v>2042</v>
      </c>
      <c r="B81" s="23" t="s">
        <v>190</v>
      </c>
      <c r="C81" s="23" t="s">
        <v>242</v>
      </c>
      <c r="D81" s="23" t="s">
        <v>1864</v>
      </c>
      <c r="E81" s="25">
        <v>46126.78015774279</v>
      </c>
      <c r="F81" s="23" t="s">
        <v>1874</v>
      </c>
      <c r="G81" s="23" t="s">
        <v>2043</v>
      </c>
      <c r="H81" s="23" t="s">
        <v>1583</v>
      </c>
      <c r="I81" s="23">
        <v>1.0</v>
      </c>
      <c r="J81" s="23" t="s">
        <v>1867</v>
      </c>
    </row>
    <row r="82" ht="18.0" customHeight="1">
      <c r="A82" s="23" t="s">
        <v>2044</v>
      </c>
      <c r="B82" s="23" t="s">
        <v>190</v>
      </c>
      <c r="C82" s="23" t="s">
        <v>311</v>
      </c>
      <c r="D82" s="23" t="s">
        <v>1869</v>
      </c>
      <c r="E82" s="25">
        <v>46213.61620895099</v>
      </c>
      <c r="F82" s="23" t="s">
        <v>404</v>
      </c>
      <c r="G82" s="23" t="s">
        <v>2045</v>
      </c>
      <c r="H82" s="23" t="s">
        <v>1583</v>
      </c>
      <c r="I82" s="23">
        <v>4.0</v>
      </c>
      <c r="J82" s="23" t="s">
        <v>1871</v>
      </c>
    </row>
    <row r="83" ht="18.0" customHeight="1">
      <c r="A83" s="23" t="s">
        <v>2046</v>
      </c>
      <c r="B83" s="23" t="s">
        <v>190</v>
      </c>
      <c r="C83" s="23" t="s">
        <v>311</v>
      </c>
      <c r="D83" s="23" t="s">
        <v>1873</v>
      </c>
      <c r="E83" s="25">
        <v>45788.20398384449</v>
      </c>
      <c r="F83" s="23" t="s">
        <v>342</v>
      </c>
      <c r="G83" s="23" t="s">
        <v>2047</v>
      </c>
      <c r="H83" s="23" t="s">
        <v>1866</v>
      </c>
      <c r="I83" s="23">
        <v>3.0</v>
      </c>
      <c r="J83" s="23" t="s">
        <v>1876</v>
      </c>
    </row>
    <row r="84" ht="18.0" customHeight="1">
      <c r="A84" s="23" t="s">
        <v>2048</v>
      </c>
      <c r="B84" s="23" t="s">
        <v>190</v>
      </c>
      <c r="C84" s="23" t="s">
        <v>189</v>
      </c>
      <c r="D84" s="23" t="s">
        <v>1878</v>
      </c>
      <c r="E84" s="25">
        <v>45665.651712943334</v>
      </c>
      <c r="F84" s="23" t="s">
        <v>11</v>
      </c>
      <c r="G84" s="23" t="s">
        <v>2049</v>
      </c>
      <c r="H84" s="23" t="s">
        <v>1583</v>
      </c>
      <c r="I84" s="23">
        <v>3.0</v>
      </c>
      <c r="J84" s="23" t="s">
        <v>1881</v>
      </c>
    </row>
    <row r="85" ht="18.0" customHeight="1">
      <c r="A85" s="23" t="s">
        <v>2050</v>
      </c>
      <c r="B85" s="23" t="s">
        <v>190</v>
      </c>
      <c r="C85" s="23" t="s">
        <v>112</v>
      </c>
      <c r="D85" s="23" t="s">
        <v>1883</v>
      </c>
      <c r="E85" s="25">
        <v>45624.004751988454</v>
      </c>
      <c r="F85" s="23" t="s">
        <v>1874</v>
      </c>
      <c r="G85" s="23" t="s">
        <v>2051</v>
      </c>
      <c r="H85" s="23" t="s">
        <v>1583</v>
      </c>
      <c r="I85" s="23">
        <v>1.0</v>
      </c>
      <c r="J85" s="23" t="s">
        <v>1885</v>
      </c>
    </row>
    <row r="86" ht="18.0" customHeight="1">
      <c r="A86" s="23" t="s">
        <v>2052</v>
      </c>
      <c r="B86" s="23" t="s">
        <v>201</v>
      </c>
      <c r="C86" s="23" t="s">
        <v>184</v>
      </c>
      <c r="D86" s="23" t="s">
        <v>1873</v>
      </c>
      <c r="E86" s="25">
        <v>45309.739469187334</v>
      </c>
      <c r="F86" s="23" t="s">
        <v>1874</v>
      </c>
      <c r="G86" s="23" t="s">
        <v>2053</v>
      </c>
      <c r="H86" s="23" t="s">
        <v>1909</v>
      </c>
      <c r="I86" s="23">
        <v>3.0</v>
      </c>
      <c r="J86" s="23" t="s">
        <v>1876</v>
      </c>
    </row>
    <row r="87" ht="18.0" customHeight="1">
      <c r="A87" s="23" t="s">
        <v>2054</v>
      </c>
      <c r="B87" s="23" t="s">
        <v>201</v>
      </c>
      <c r="C87" s="23" t="s">
        <v>489</v>
      </c>
      <c r="D87" s="23" t="s">
        <v>1878</v>
      </c>
      <c r="E87" s="25">
        <v>45705.50457494357</v>
      </c>
      <c r="F87" s="23" t="s">
        <v>404</v>
      </c>
      <c r="G87" s="23" t="s">
        <v>2055</v>
      </c>
      <c r="H87" s="23" t="s">
        <v>1583</v>
      </c>
      <c r="I87" s="23">
        <v>3.0</v>
      </c>
      <c r="J87" s="23" t="s">
        <v>1881</v>
      </c>
    </row>
    <row r="88" ht="18.0" customHeight="1">
      <c r="A88" s="23" t="s">
        <v>2056</v>
      </c>
      <c r="B88" s="23" t="s">
        <v>201</v>
      </c>
      <c r="C88" s="23" t="s">
        <v>271</v>
      </c>
      <c r="D88" s="23" t="s">
        <v>1883</v>
      </c>
      <c r="E88" s="25">
        <v>45472.699765476864</v>
      </c>
      <c r="F88" s="23" t="s">
        <v>342</v>
      </c>
      <c r="G88" s="23" t="s">
        <v>2057</v>
      </c>
      <c r="H88" s="23" t="s">
        <v>1583</v>
      </c>
      <c r="I88" s="23">
        <v>1.0</v>
      </c>
      <c r="J88" s="23" t="s">
        <v>1885</v>
      </c>
    </row>
    <row r="89" ht="18.0" customHeight="1">
      <c r="A89" s="23" t="s">
        <v>2058</v>
      </c>
      <c r="B89" s="23" t="s">
        <v>201</v>
      </c>
      <c r="C89" s="23" t="s">
        <v>517</v>
      </c>
      <c r="D89" s="23" t="s">
        <v>1887</v>
      </c>
      <c r="E89" s="25">
        <v>45914.1658206915</v>
      </c>
      <c r="F89" s="23" t="s">
        <v>11</v>
      </c>
      <c r="G89" s="23" t="s">
        <v>2059</v>
      </c>
      <c r="H89" s="23" t="s">
        <v>1892</v>
      </c>
      <c r="I89" s="23">
        <v>1.0</v>
      </c>
      <c r="J89" s="23" t="s">
        <v>1889</v>
      </c>
    </row>
    <row r="90" ht="18.0" customHeight="1">
      <c r="A90" s="23" t="s">
        <v>2060</v>
      </c>
      <c r="B90" s="23" t="s">
        <v>201</v>
      </c>
      <c r="C90" s="23" t="s">
        <v>517</v>
      </c>
      <c r="D90" s="23" t="s">
        <v>1898</v>
      </c>
      <c r="E90" s="25">
        <v>45431.19488603715</v>
      </c>
      <c r="F90" s="23" t="s">
        <v>1874</v>
      </c>
      <c r="G90" s="23" t="s">
        <v>2061</v>
      </c>
      <c r="H90" s="23" t="s">
        <v>1583</v>
      </c>
      <c r="I90" s="23">
        <v>2.0</v>
      </c>
      <c r="J90" s="23" t="s">
        <v>1900</v>
      </c>
    </row>
    <row r="91" ht="18.0" customHeight="1">
      <c r="A91" s="23" t="s">
        <v>2062</v>
      </c>
      <c r="B91" s="23" t="s">
        <v>201</v>
      </c>
      <c r="C91" s="23" t="s">
        <v>184</v>
      </c>
      <c r="D91" s="23" t="s">
        <v>1902</v>
      </c>
      <c r="E91" s="25">
        <v>45551.122314743</v>
      </c>
      <c r="F91" s="23" t="s">
        <v>404</v>
      </c>
      <c r="G91" s="23" t="s">
        <v>2063</v>
      </c>
      <c r="H91" s="23" t="s">
        <v>1583</v>
      </c>
      <c r="I91" s="23">
        <v>2.0</v>
      </c>
      <c r="J91" s="23" t="s">
        <v>1904</v>
      </c>
    </row>
    <row r="92" ht="18.0" customHeight="1">
      <c r="A92" s="23" t="s">
        <v>2064</v>
      </c>
      <c r="B92" s="23" t="s">
        <v>213</v>
      </c>
      <c r="C92" s="23" t="s">
        <v>424</v>
      </c>
      <c r="D92" s="23" t="s">
        <v>1887</v>
      </c>
      <c r="E92" s="25">
        <v>45874.63118633861</v>
      </c>
      <c r="F92" s="23" t="s">
        <v>404</v>
      </c>
      <c r="G92" s="23" t="s">
        <v>2065</v>
      </c>
      <c r="H92" s="23" t="s">
        <v>1880</v>
      </c>
      <c r="I92" s="23">
        <v>1.0</v>
      </c>
      <c r="J92" s="23" t="s">
        <v>1889</v>
      </c>
    </row>
    <row r="93" ht="18.0" customHeight="1">
      <c r="A93" s="23" t="s">
        <v>2066</v>
      </c>
      <c r="B93" s="23" t="s">
        <v>213</v>
      </c>
      <c r="C93" s="23" t="s">
        <v>412</v>
      </c>
      <c r="D93" s="23" t="s">
        <v>1898</v>
      </c>
      <c r="E93" s="25">
        <v>45301.27501083794</v>
      </c>
      <c r="F93" s="23" t="s">
        <v>342</v>
      </c>
      <c r="G93" s="23" t="s">
        <v>2067</v>
      </c>
      <c r="H93" s="23" t="s">
        <v>1583</v>
      </c>
      <c r="I93" s="23">
        <v>2.0</v>
      </c>
      <c r="J93" s="23" t="s">
        <v>1900</v>
      </c>
    </row>
    <row r="94" ht="18.0" customHeight="1">
      <c r="A94" s="23" t="s">
        <v>2068</v>
      </c>
      <c r="B94" s="23" t="s">
        <v>213</v>
      </c>
      <c r="C94" s="23" t="s">
        <v>43</v>
      </c>
      <c r="D94" s="23" t="s">
        <v>1902</v>
      </c>
      <c r="E94" s="25">
        <v>45558.206019595265</v>
      </c>
      <c r="F94" s="23" t="s">
        <v>11</v>
      </c>
      <c r="G94" s="23" t="s">
        <v>2069</v>
      </c>
      <c r="H94" s="23" t="s">
        <v>1583</v>
      </c>
      <c r="I94" s="23">
        <v>2.0</v>
      </c>
      <c r="J94" s="23" t="s">
        <v>1904</v>
      </c>
    </row>
    <row r="95" ht="18.0" customHeight="1">
      <c r="A95" s="23" t="s">
        <v>2070</v>
      </c>
      <c r="B95" s="23" t="s">
        <v>213</v>
      </c>
      <c r="C95" s="23" t="s">
        <v>424</v>
      </c>
      <c r="D95" s="23" t="s">
        <v>1864</v>
      </c>
      <c r="E95" s="25">
        <v>45506.7908751464</v>
      </c>
      <c r="F95" s="23" t="s">
        <v>1874</v>
      </c>
      <c r="G95" s="23" t="s">
        <v>2071</v>
      </c>
      <c r="H95" s="23" t="s">
        <v>1909</v>
      </c>
      <c r="I95" s="23">
        <v>1.0</v>
      </c>
      <c r="J95" s="23" t="s">
        <v>1867</v>
      </c>
    </row>
    <row r="96" ht="18.0" customHeight="1">
      <c r="A96" s="23" t="s">
        <v>2072</v>
      </c>
      <c r="B96" s="23" t="s">
        <v>213</v>
      </c>
      <c r="C96" s="23" t="s">
        <v>43</v>
      </c>
      <c r="D96" s="23" t="s">
        <v>1869</v>
      </c>
      <c r="E96" s="25">
        <v>45992.260037408676</v>
      </c>
      <c r="F96" s="23" t="s">
        <v>404</v>
      </c>
      <c r="G96" s="23" t="s">
        <v>2073</v>
      </c>
      <c r="H96" s="23" t="s">
        <v>1583</v>
      </c>
      <c r="I96" s="23">
        <v>4.0</v>
      </c>
      <c r="J96" s="23" t="s">
        <v>1871</v>
      </c>
    </row>
    <row r="97" ht="18.0" customHeight="1">
      <c r="A97" s="23" t="s">
        <v>2074</v>
      </c>
      <c r="B97" s="23" t="s">
        <v>213</v>
      </c>
      <c r="C97" s="23" t="s">
        <v>147</v>
      </c>
      <c r="D97" s="23" t="s">
        <v>1873</v>
      </c>
      <c r="E97" s="25">
        <v>46096.86033065035</v>
      </c>
      <c r="F97" s="23" t="s">
        <v>342</v>
      </c>
      <c r="G97" s="23" t="s">
        <v>2075</v>
      </c>
      <c r="H97" s="23" t="s">
        <v>1583</v>
      </c>
      <c r="I97" s="23">
        <v>3.0</v>
      </c>
      <c r="J97" s="23" t="s">
        <v>1876</v>
      </c>
    </row>
    <row r="98" ht="18.0" customHeight="1">
      <c r="A98" s="23" t="s">
        <v>2076</v>
      </c>
      <c r="B98" s="23" t="s">
        <v>221</v>
      </c>
      <c r="C98" s="23" t="s">
        <v>80</v>
      </c>
      <c r="D98" s="23" t="s">
        <v>1864</v>
      </c>
      <c r="E98" s="25">
        <v>46164.069019830786</v>
      </c>
      <c r="F98" s="23" t="s">
        <v>342</v>
      </c>
      <c r="G98" s="23" t="s">
        <v>2077</v>
      </c>
      <c r="H98" s="23" t="s">
        <v>1866</v>
      </c>
      <c r="I98" s="23">
        <v>1.0</v>
      </c>
      <c r="J98" s="23" t="s">
        <v>1867</v>
      </c>
    </row>
    <row r="99" ht="18.0" customHeight="1">
      <c r="A99" s="23" t="s">
        <v>2078</v>
      </c>
      <c r="B99" s="23" t="s">
        <v>221</v>
      </c>
      <c r="C99" s="23" t="s">
        <v>112</v>
      </c>
      <c r="D99" s="23" t="s">
        <v>1869</v>
      </c>
      <c r="E99" s="25">
        <v>45661.13989744824</v>
      </c>
      <c r="F99" s="23" t="s">
        <v>11</v>
      </c>
      <c r="G99" s="23" t="s">
        <v>2079</v>
      </c>
      <c r="H99" s="23" t="s">
        <v>1583</v>
      </c>
      <c r="I99" s="23">
        <v>4.0</v>
      </c>
      <c r="J99" s="23" t="s">
        <v>1871</v>
      </c>
    </row>
    <row r="100" ht="18.0" customHeight="1">
      <c r="A100" s="23" t="s">
        <v>2080</v>
      </c>
      <c r="B100" s="23" t="s">
        <v>221</v>
      </c>
      <c r="C100" s="23" t="s">
        <v>517</v>
      </c>
      <c r="D100" s="23" t="s">
        <v>1873</v>
      </c>
      <c r="E100" s="25">
        <v>46148.831460431684</v>
      </c>
      <c r="F100" s="23" t="s">
        <v>1874</v>
      </c>
      <c r="G100" s="23" t="s">
        <v>2081</v>
      </c>
      <c r="H100" s="23" t="s">
        <v>1583</v>
      </c>
      <c r="I100" s="23">
        <v>3.0</v>
      </c>
      <c r="J100" s="23" t="s">
        <v>1876</v>
      </c>
    </row>
    <row r="101" ht="18.0" customHeight="1">
      <c r="A101" s="23" t="s">
        <v>2082</v>
      </c>
      <c r="B101" s="23" t="s">
        <v>221</v>
      </c>
      <c r="C101" s="23" t="s">
        <v>234</v>
      </c>
      <c r="D101" s="23" t="s">
        <v>1878</v>
      </c>
      <c r="E101" s="25">
        <v>45634.4951412871</v>
      </c>
      <c r="F101" s="23" t="s">
        <v>404</v>
      </c>
      <c r="G101" s="23" t="s">
        <v>2083</v>
      </c>
      <c r="H101" s="23" t="s">
        <v>1880</v>
      </c>
      <c r="I101" s="23">
        <v>3.0</v>
      </c>
      <c r="J101" s="23" t="s">
        <v>1881</v>
      </c>
    </row>
    <row r="102" ht="18.0" customHeight="1">
      <c r="A102" s="23" t="s">
        <v>2084</v>
      </c>
      <c r="B102" s="23" t="s">
        <v>221</v>
      </c>
      <c r="C102" s="23" t="s">
        <v>177</v>
      </c>
      <c r="D102" s="23" t="s">
        <v>1883</v>
      </c>
      <c r="E102" s="25">
        <v>45690.19113977067</v>
      </c>
      <c r="F102" s="23" t="s">
        <v>342</v>
      </c>
      <c r="G102" s="23" t="s">
        <v>2085</v>
      </c>
      <c r="H102" s="23" t="s">
        <v>1583</v>
      </c>
      <c r="I102" s="23">
        <v>1.0</v>
      </c>
      <c r="J102" s="23" t="s">
        <v>1885</v>
      </c>
    </row>
    <row r="103" ht="18.0" customHeight="1">
      <c r="A103" s="23" t="s">
        <v>2086</v>
      </c>
      <c r="B103" s="23" t="s">
        <v>221</v>
      </c>
      <c r="C103" s="23" t="s">
        <v>80</v>
      </c>
      <c r="D103" s="23" t="s">
        <v>1887</v>
      </c>
      <c r="E103" s="25">
        <v>45620.02720668935</v>
      </c>
      <c r="F103" s="23" t="s">
        <v>11</v>
      </c>
      <c r="G103" s="23" t="s">
        <v>2087</v>
      </c>
      <c r="H103" s="23" t="s">
        <v>1583</v>
      </c>
      <c r="I103" s="23">
        <v>1.0</v>
      </c>
      <c r="J103" s="23" t="s">
        <v>1889</v>
      </c>
    </row>
    <row r="104" ht="18.0" customHeight="1">
      <c r="A104" s="23" t="s">
        <v>2088</v>
      </c>
      <c r="B104" s="23" t="s">
        <v>229</v>
      </c>
      <c r="C104" s="23" t="s">
        <v>177</v>
      </c>
      <c r="D104" s="23" t="s">
        <v>1878</v>
      </c>
      <c r="E104" s="25">
        <v>45499.99036598159</v>
      </c>
      <c r="F104" s="23" t="s">
        <v>11</v>
      </c>
      <c r="G104" s="23" t="s">
        <v>2089</v>
      </c>
      <c r="H104" s="23" t="s">
        <v>1892</v>
      </c>
      <c r="I104" s="23">
        <v>3.0</v>
      </c>
      <c r="J104" s="23" t="s">
        <v>1881</v>
      </c>
    </row>
    <row r="105" ht="18.0" customHeight="1">
      <c r="A105" s="23" t="s">
        <v>2090</v>
      </c>
      <c r="B105" s="23" t="s">
        <v>229</v>
      </c>
      <c r="C105" s="23" t="s">
        <v>147</v>
      </c>
      <c r="D105" s="23" t="s">
        <v>1883</v>
      </c>
      <c r="E105" s="25">
        <v>45820.976562604075</v>
      </c>
      <c r="F105" s="23" t="s">
        <v>1874</v>
      </c>
      <c r="G105" s="23" t="s">
        <v>2091</v>
      </c>
      <c r="H105" s="23" t="s">
        <v>1583</v>
      </c>
      <c r="I105" s="23">
        <v>1.0</v>
      </c>
      <c r="J105" s="23" t="s">
        <v>1885</v>
      </c>
    </row>
    <row r="106" ht="18.0" customHeight="1">
      <c r="A106" s="23" t="s">
        <v>2092</v>
      </c>
      <c r="B106" s="23" t="s">
        <v>229</v>
      </c>
      <c r="C106" s="23" t="s">
        <v>353</v>
      </c>
      <c r="D106" s="23" t="s">
        <v>1887</v>
      </c>
      <c r="E106" s="25">
        <v>46093.39194399584</v>
      </c>
      <c r="F106" s="23" t="s">
        <v>404</v>
      </c>
      <c r="G106" s="23" t="s">
        <v>2093</v>
      </c>
      <c r="H106" s="23" t="s">
        <v>1583</v>
      </c>
      <c r="I106" s="23">
        <v>1.0</v>
      </c>
      <c r="J106" s="23" t="s">
        <v>1889</v>
      </c>
    </row>
    <row r="107" ht="18.0" customHeight="1">
      <c r="A107" s="23" t="s">
        <v>2094</v>
      </c>
      <c r="B107" s="23" t="s">
        <v>229</v>
      </c>
      <c r="C107" s="23" t="s">
        <v>412</v>
      </c>
      <c r="D107" s="23" t="s">
        <v>1898</v>
      </c>
      <c r="E107" s="25">
        <v>45398.51262757485</v>
      </c>
      <c r="F107" s="23" t="s">
        <v>342</v>
      </c>
      <c r="G107" s="23" t="s">
        <v>2095</v>
      </c>
      <c r="H107" s="23" t="s">
        <v>1866</v>
      </c>
      <c r="I107" s="23">
        <v>2.0</v>
      </c>
      <c r="J107" s="23" t="s">
        <v>1900</v>
      </c>
    </row>
    <row r="108" ht="18.0" customHeight="1">
      <c r="A108" s="23" t="s">
        <v>2096</v>
      </c>
      <c r="B108" s="23" t="s">
        <v>229</v>
      </c>
      <c r="C108" s="23" t="s">
        <v>241</v>
      </c>
      <c r="D108" s="23" t="s">
        <v>1902</v>
      </c>
      <c r="E108" s="25">
        <v>45651.84875523904</v>
      </c>
      <c r="F108" s="23" t="s">
        <v>11</v>
      </c>
      <c r="G108" s="23" t="s">
        <v>2097</v>
      </c>
      <c r="H108" s="23" t="s">
        <v>1583</v>
      </c>
      <c r="I108" s="23">
        <v>2.0</v>
      </c>
      <c r="J108" s="23" t="s">
        <v>1904</v>
      </c>
    </row>
    <row r="109" ht="18.0" customHeight="1">
      <c r="A109" s="23" t="s">
        <v>2098</v>
      </c>
      <c r="B109" s="23" t="s">
        <v>229</v>
      </c>
      <c r="C109" s="23" t="s">
        <v>257</v>
      </c>
      <c r="D109" s="23" t="s">
        <v>1864</v>
      </c>
      <c r="E109" s="25">
        <v>45636.70016797888</v>
      </c>
      <c r="F109" s="23" t="s">
        <v>1874</v>
      </c>
      <c r="G109" s="23" t="s">
        <v>2099</v>
      </c>
      <c r="H109" s="23" t="s">
        <v>1583</v>
      </c>
      <c r="I109" s="23">
        <v>1.0</v>
      </c>
      <c r="J109" s="23" t="s">
        <v>1867</v>
      </c>
    </row>
    <row r="110" ht="18.0" customHeight="1">
      <c r="A110" s="23" t="s">
        <v>2100</v>
      </c>
      <c r="B110" s="23" t="s">
        <v>236</v>
      </c>
      <c r="C110" s="23" t="s">
        <v>257</v>
      </c>
      <c r="D110" s="23" t="s">
        <v>1898</v>
      </c>
      <c r="E110" s="25">
        <v>45535.95158744976</v>
      </c>
      <c r="F110" s="23" t="s">
        <v>1874</v>
      </c>
      <c r="G110" s="23" t="s">
        <v>2101</v>
      </c>
      <c r="H110" s="23" t="s">
        <v>1909</v>
      </c>
      <c r="I110" s="23">
        <v>2.0</v>
      </c>
      <c r="J110" s="23" t="s">
        <v>1900</v>
      </c>
    </row>
    <row r="111" ht="18.0" customHeight="1">
      <c r="A111" s="23" t="s">
        <v>2102</v>
      </c>
      <c r="B111" s="23" t="s">
        <v>236</v>
      </c>
      <c r="C111" s="23" t="s">
        <v>496</v>
      </c>
      <c r="D111" s="23" t="s">
        <v>1902</v>
      </c>
      <c r="E111" s="25">
        <v>45629.64527695463</v>
      </c>
      <c r="F111" s="23" t="s">
        <v>404</v>
      </c>
      <c r="G111" s="23" t="s">
        <v>2103</v>
      </c>
      <c r="H111" s="23" t="s">
        <v>1583</v>
      </c>
      <c r="I111" s="23">
        <v>2.0</v>
      </c>
      <c r="J111" s="23" t="s">
        <v>1904</v>
      </c>
    </row>
    <row r="112" ht="18.0" customHeight="1">
      <c r="A112" s="23" t="s">
        <v>2104</v>
      </c>
      <c r="B112" s="23" t="s">
        <v>236</v>
      </c>
      <c r="C112" s="23" t="s">
        <v>234</v>
      </c>
      <c r="D112" s="23" t="s">
        <v>1864</v>
      </c>
      <c r="E112" s="25">
        <v>45419.761049581226</v>
      </c>
      <c r="F112" s="23" t="s">
        <v>342</v>
      </c>
      <c r="G112" s="23" t="s">
        <v>2105</v>
      </c>
      <c r="H112" s="23" t="s">
        <v>1583</v>
      </c>
      <c r="I112" s="23">
        <v>1.0</v>
      </c>
      <c r="J112" s="23" t="s">
        <v>1867</v>
      </c>
    </row>
    <row r="113" ht="18.0" customHeight="1">
      <c r="A113" s="23" t="s">
        <v>2106</v>
      </c>
      <c r="B113" s="23" t="s">
        <v>236</v>
      </c>
      <c r="C113" s="23" t="s">
        <v>527</v>
      </c>
      <c r="D113" s="23" t="s">
        <v>1869</v>
      </c>
      <c r="E113" s="25">
        <v>45410.027843197575</v>
      </c>
      <c r="F113" s="23" t="s">
        <v>11</v>
      </c>
      <c r="G113" s="23" t="s">
        <v>2107</v>
      </c>
      <c r="H113" s="23" t="s">
        <v>1892</v>
      </c>
      <c r="I113" s="23">
        <v>4.0</v>
      </c>
      <c r="J113" s="23" t="s">
        <v>1871</v>
      </c>
    </row>
    <row r="114" ht="18.0" customHeight="1">
      <c r="A114" s="23" t="s">
        <v>2108</v>
      </c>
      <c r="B114" s="23" t="s">
        <v>236</v>
      </c>
      <c r="C114" s="23" t="s">
        <v>489</v>
      </c>
      <c r="D114" s="23" t="s">
        <v>1873</v>
      </c>
      <c r="E114" s="25">
        <v>45797.140539559536</v>
      </c>
      <c r="F114" s="23" t="s">
        <v>1874</v>
      </c>
      <c r="G114" s="23" t="s">
        <v>2109</v>
      </c>
      <c r="H114" s="23" t="s">
        <v>1583</v>
      </c>
      <c r="I114" s="23">
        <v>3.0</v>
      </c>
      <c r="J114" s="23" t="s">
        <v>1876</v>
      </c>
    </row>
    <row r="115" ht="18.0" customHeight="1">
      <c r="A115" s="23" t="s">
        <v>2110</v>
      </c>
      <c r="B115" s="23" t="s">
        <v>236</v>
      </c>
      <c r="C115" s="23" t="s">
        <v>281</v>
      </c>
      <c r="D115" s="23" t="s">
        <v>1878</v>
      </c>
      <c r="E115" s="25">
        <v>45317.48620786634</v>
      </c>
      <c r="F115" s="23" t="s">
        <v>404</v>
      </c>
      <c r="G115" s="23" t="s">
        <v>2111</v>
      </c>
      <c r="H115" s="23" t="s">
        <v>1583</v>
      </c>
      <c r="I115" s="23">
        <v>3.0</v>
      </c>
      <c r="J115" s="23" t="s">
        <v>1881</v>
      </c>
    </row>
    <row r="116" ht="18.0" customHeight="1">
      <c r="A116" s="23" t="s">
        <v>2112</v>
      </c>
      <c r="B116" s="23" t="s">
        <v>246</v>
      </c>
      <c r="C116" s="23" t="s">
        <v>80</v>
      </c>
      <c r="D116" s="23" t="s">
        <v>1869</v>
      </c>
      <c r="E116" s="25">
        <v>45606.6668029842</v>
      </c>
      <c r="F116" s="23" t="s">
        <v>404</v>
      </c>
      <c r="G116" s="23" t="s">
        <v>2113</v>
      </c>
      <c r="H116" s="23" t="s">
        <v>1880</v>
      </c>
      <c r="I116" s="23">
        <v>4.0</v>
      </c>
      <c r="J116" s="23" t="s">
        <v>1871</v>
      </c>
    </row>
    <row r="117" ht="18.0" customHeight="1">
      <c r="A117" s="23" t="s">
        <v>2114</v>
      </c>
      <c r="B117" s="23" t="s">
        <v>246</v>
      </c>
      <c r="C117" s="23" t="s">
        <v>242</v>
      </c>
      <c r="D117" s="23" t="s">
        <v>1873</v>
      </c>
      <c r="E117" s="25">
        <v>45408.69568440388</v>
      </c>
      <c r="F117" s="23" t="s">
        <v>342</v>
      </c>
      <c r="G117" s="23" t="s">
        <v>2115</v>
      </c>
      <c r="H117" s="23" t="s">
        <v>1583</v>
      </c>
      <c r="I117" s="23">
        <v>3.0</v>
      </c>
      <c r="J117" s="23" t="s">
        <v>1876</v>
      </c>
    </row>
    <row r="118" ht="18.0" customHeight="1">
      <c r="A118" s="23" t="s">
        <v>2116</v>
      </c>
      <c r="B118" s="23" t="s">
        <v>246</v>
      </c>
      <c r="C118" s="23" t="s">
        <v>234</v>
      </c>
      <c r="D118" s="23" t="s">
        <v>1878</v>
      </c>
      <c r="E118" s="25">
        <v>45544.215128669515</v>
      </c>
      <c r="F118" s="23" t="s">
        <v>11</v>
      </c>
      <c r="G118" s="23" t="s">
        <v>2117</v>
      </c>
      <c r="H118" s="23" t="s">
        <v>1583</v>
      </c>
      <c r="I118" s="23">
        <v>3.0</v>
      </c>
      <c r="J118" s="23" t="s">
        <v>1881</v>
      </c>
    </row>
    <row r="119" ht="18.0" customHeight="1">
      <c r="A119" s="23" t="s">
        <v>2118</v>
      </c>
      <c r="B119" s="23" t="s">
        <v>246</v>
      </c>
      <c r="C119" s="23" t="s">
        <v>331</v>
      </c>
      <c r="D119" s="23" t="s">
        <v>1883</v>
      </c>
      <c r="E119" s="25">
        <v>45848.03828014084</v>
      </c>
      <c r="F119" s="23" t="s">
        <v>1874</v>
      </c>
      <c r="G119" s="23" t="s">
        <v>2119</v>
      </c>
      <c r="H119" s="23" t="s">
        <v>1909</v>
      </c>
      <c r="I119" s="23">
        <v>1.0</v>
      </c>
      <c r="J119" s="23" t="s">
        <v>1885</v>
      </c>
    </row>
    <row r="120" ht="18.0" customHeight="1">
      <c r="A120" s="23" t="s">
        <v>2120</v>
      </c>
      <c r="B120" s="23" t="s">
        <v>246</v>
      </c>
      <c r="C120" s="23" t="s">
        <v>424</v>
      </c>
      <c r="D120" s="23" t="s">
        <v>1887</v>
      </c>
      <c r="E120" s="25">
        <v>45713.110172237735</v>
      </c>
      <c r="F120" s="23" t="s">
        <v>404</v>
      </c>
      <c r="G120" s="23" t="s">
        <v>2121</v>
      </c>
      <c r="H120" s="23" t="s">
        <v>1583</v>
      </c>
      <c r="I120" s="23">
        <v>1.0</v>
      </c>
      <c r="J120" s="23" t="s">
        <v>1889</v>
      </c>
    </row>
    <row r="121" ht="18.0" customHeight="1">
      <c r="A121" s="23" t="s">
        <v>2122</v>
      </c>
      <c r="B121" s="23" t="s">
        <v>246</v>
      </c>
      <c r="C121" s="23" t="s">
        <v>402</v>
      </c>
      <c r="D121" s="23" t="s">
        <v>1898</v>
      </c>
      <c r="E121" s="25">
        <v>45694.5588101109</v>
      </c>
      <c r="F121" s="23" t="s">
        <v>342</v>
      </c>
      <c r="G121" s="23" t="s">
        <v>2123</v>
      </c>
      <c r="H121" s="23" t="s">
        <v>1583</v>
      </c>
      <c r="I121" s="23">
        <v>2.0</v>
      </c>
      <c r="J121" s="23" t="s">
        <v>1900</v>
      </c>
    </row>
    <row r="122" ht="18.0" customHeight="1">
      <c r="A122" s="23" t="s">
        <v>2124</v>
      </c>
      <c r="B122" s="23" t="s">
        <v>256</v>
      </c>
      <c r="C122" s="23" t="s">
        <v>336</v>
      </c>
      <c r="D122" s="23" t="s">
        <v>1883</v>
      </c>
      <c r="E122" s="25">
        <v>45602.11328178737</v>
      </c>
      <c r="F122" s="23" t="s">
        <v>342</v>
      </c>
      <c r="G122" s="23" t="s">
        <v>2125</v>
      </c>
      <c r="H122" s="23" t="s">
        <v>1866</v>
      </c>
      <c r="I122" s="23">
        <v>1.0</v>
      </c>
      <c r="J122" s="23" t="s">
        <v>1885</v>
      </c>
    </row>
    <row r="123" ht="18.0" customHeight="1">
      <c r="A123" s="23" t="s">
        <v>2126</v>
      </c>
      <c r="B123" s="23" t="s">
        <v>256</v>
      </c>
      <c r="C123" s="23" t="s">
        <v>356</v>
      </c>
      <c r="D123" s="23" t="s">
        <v>1887</v>
      </c>
      <c r="E123" s="25">
        <v>46005.005132570164</v>
      </c>
      <c r="F123" s="23" t="s">
        <v>11</v>
      </c>
      <c r="G123" s="23" t="s">
        <v>2127</v>
      </c>
      <c r="H123" s="23" t="s">
        <v>1583</v>
      </c>
      <c r="I123" s="23">
        <v>1.0</v>
      </c>
      <c r="J123" s="23" t="s">
        <v>1889</v>
      </c>
    </row>
    <row r="124" ht="18.0" customHeight="1">
      <c r="A124" s="23" t="s">
        <v>2128</v>
      </c>
      <c r="B124" s="23" t="s">
        <v>256</v>
      </c>
      <c r="C124" s="23" t="s">
        <v>336</v>
      </c>
      <c r="D124" s="23" t="s">
        <v>1898</v>
      </c>
      <c r="E124" s="25">
        <v>45406.295519972686</v>
      </c>
      <c r="F124" s="23" t="s">
        <v>1874</v>
      </c>
      <c r="G124" s="23" t="s">
        <v>2129</v>
      </c>
      <c r="H124" s="23" t="s">
        <v>1583</v>
      </c>
      <c r="I124" s="23">
        <v>2.0</v>
      </c>
      <c r="J124" s="23" t="s">
        <v>1900</v>
      </c>
    </row>
    <row r="125" ht="18.0" customHeight="1">
      <c r="A125" s="23" t="s">
        <v>2130</v>
      </c>
      <c r="B125" s="23" t="s">
        <v>256</v>
      </c>
      <c r="C125" s="23" t="s">
        <v>527</v>
      </c>
      <c r="D125" s="23" t="s">
        <v>1902</v>
      </c>
      <c r="E125" s="25">
        <v>46091.219962275354</v>
      </c>
      <c r="F125" s="23" t="s">
        <v>404</v>
      </c>
      <c r="G125" s="23" t="s">
        <v>2131</v>
      </c>
      <c r="H125" s="23" t="s">
        <v>1880</v>
      </c>
      <c r="I125" s="23">
        <v>2.0</v>
      </c>
      <c r="J125" s="23" t="s">
        <v>1904</v>
      </c>
    </row>
    <row r="126" ht="18.0" customHeight="1">
      <c r="A126" s="23" t="s">
        <v>2132</v>
      </c>
      <c r="B126" s="23" t="s">
        <v>256</v>
      </c>
      <c r="C126" s="23" t="s">
        <v>496</v>
      </c>
      <c r="D126" s="23" t="s">
        <v>1864</v>
      </c>
      <c r="E126" s="25">
        <v>46221.33483464271</v>
      </c>
      <c r="F126" s="23" t="s">
        <v>342</v>
      </c>
      <c r="G126" s="23" t="s">
        <v>2133</v>
      </c>
      <c r="H126" s="23" t="s">
        <v>1583</v>
      </c>
      <c r="I126" s="23">
        <v>1.0</v>
      </c>
      <c r="J126" s="23" t="s">
        <v>1867</v>
      </c>
    </row>
    <row r="127" ht="18.0" customHeight="1">
      <c r="A127" s="23" t="s">
        <v>2134</v>
      </c>
      <c r="B127" s="23" t="s">
        <v>256</v>
      </c>
      <c r="C127" s="23" t="s">
        <v>402</v>
      </c>
      <c r="D127" s="23" t="s">
        <v>1869</v>
      </c>
      <c r="E127" s="25">
        <v>45535.551131638</v>
      </c>
      <c r="F127" s="23" t="s">
        <v>11</v>
      </c>
      <c r="G127" s="23" t="s">
        <v>2135</v>
      </c>
      <c r="H127" s="23" t="s">
        <v>1583</v>
      </c>
      <c r="I127" s="23">
        <v>4.0</v>
      </c>
      <c r="J127" s="23" t="s">
        <v>1871</v>
      </c>
    </row>
    <row r="128" ht="18.0" customHeight="1">
      <c r="A128" s="23" t="s">
        <v>2136</v>
      </c>
      <c r="B128" s="23" t="s">
        <v>267</v>
      </c>
      <c r="C128" s="23" t="s">
        <v>402</v>
      </c>
      <c r="D128" s="23" t="s">
        <v>1902</v>
      </c>
      <c r="E128" s="25">
        <v>46138.7885255008</v>
      </c>
      <c r="F128" s="23" t="s">
        <v>11</v>
      </c>
      <c r="G128" s="23" t="s">
        <v>2137</v>
      </c>
      <c r="H128" s="23" t="s">
        <v>1892</v>
      </c>
      <c r="I128" s="23">
        <v>2.0</v>
      </c>
      <c r="J128" s="23" t="s">
        <v>1904</v>
      </c>
    </row>
    <row r="129" ht="18.0" customHeight="1">
      <c r="A129" s="23" t="s">
        <v>2138</v>
      </c>
      <c r="B129" s="23" t="s">
        <v>267</v>
      </c>
      <c r="C129" s="23" t="s">
        <v>320</v>
      </c>
      <c r="D129" s="23" t="s">
        <v>1864</v>
      </c>
      <c r="E129" s="25">
        <v>45301.33877143427</v>
      </c>
      <c r="F129" s="23" t="s">
        <v>1874</v>
      </c>
      <c r="G129" s="23" t="s">
        <v>2139</v>
      </c>
      <c r="H129" s="23" t="s">
        <v>1583</v>
      </c>
      <c r="I129" s="23">
        <v>1.0</v>
      </c>
      <c r="J129" s="23" t="s">
        <v>1867</v>
      </c>
    </row>
    <row r="130" ht="18.0" customHeight="1">
      <c r="A130" s="23" t="s">
        <v>2140</v>
      </c>
      <c r="B130" s="23" t="s">
        <v>267</v>
      </c>
      <c r="C130" s="23" t="s">
        <v>353</v>
      </c>
      <c r="D130" s="23" t="s">
        <v>1869</v>
      </c>
      <c r="E130" s="25">
        <v>46211.74078705814</v>
      </c>
      <c r="F130" s="23" t="s">
        <v>404</v>
      </c>
      <c r="G130" s="23" t="s">
        <v>2141</v>
      </c>
      <c r="H130" s="23" t="s">
        <v>1583</v>
      </c>
      <c r="I130" s="23">
        <v>4.0</v>
      </c>
      <c r="J130" s="23" t="s">
        <v>1871</v>
      </c>
    </row>
    <row r="131" ht="18.0" customHeight="1">
      <c r="A131" s="23" t="s">
        <v>2142</v>
      </c>
      <c r="B131" s="23" t="s">
        <v>267</v>
      </c>
      <c r="C131" s="23" t="s">
        <v>242</v>
      </c>
      <c r="D131" s="23" t="s">
        <v>1873</v>
      </c>
      <c r="E131" s="25">
        <v>46208.484171812655</v>
      </c>
      <c r="F131" s="23" t="s">
        <v>342</v>
      </c>
      <c r="G131" s="23" t="s">
        <v>2143</v>
      </c>
      <c r="H131" s="23" t="s">
        <v>1866</v>
      </c>
      <c r="I131" s="23">
        <v>3.0</v>
      </c>
      <c r="J131" s="23" t="s">
        <v>1876</v>
      </c>
    </row>
    <row r="132" ht="18.0" customHeight="1">
      <c r="A132" s="23" t="s">
        <v>2144</v>
      </c>
      <c r="B132" s="23" t="s">
        <v>267</v>
      </c>
      <c r="C132" s="23" t="s">
        <v>257</v>
      </c>
      <c r="D132" s="23" t="s">
        <v>1878</v>
      </c>
      <c r="E132" s="25">
        <v>45760.722178467084</v>
      </c>
      <c r="F132" s="23" t="s">
        <v>11</v>
      </c>
      <c r="G132" s="23" t="s">
        <v>2145</v>
      </c>
      <c r="H132" s="23" t="s">
        <v>1583</v>
      </c>
      <c r="I132" s="23">
        <v>3.0</v>
      </c>
      <c r="J132" s="23" t="s">
        <v>1881</v>
      </c>
    </row>
    <row r="133" ht="18.0" customHeight="1">
      <c r="A133" s="23" t="s">
        <v>2146</v>
      </c>
      <c r="B133" s="23" t="s">
        <v>267</v>
      </c>
      <c r="C133" s="23" t="s">
        <v>376</v>
      </c>
      <c r="D133" s="23" t="s">
        <v>1883</v>
      </c>
      <c r="E133" s="25">
        <v>45903.66856090422</v>
      </c>
      <c r="F133" s="23" t="s">
        <v>1874</v>
      </c>
      <c r="G133" s="23" t="s">
        <v>2147</v>
      </c>
      <c r="H133" s="23" t="s">
        <v>1583</v>
      </c>
      <c r="I133" s="23">
        <v>1.0</v>
      </c>
      <c r="J133" s="23" t="s">
        <v>1885</v>
      </c>
    </row>
    <row r="134" ht="18.0" customHeight="1">
      <c r="A134" s="23" t="s">
        <v>2148</v>
      </c>
      <c r="B134" s="23" t="s">
        <v>277</v>
      </c>
      <c r="C134" s="23" t="s">
        <v>336</v>
      </c>
      <c r="D134" s="23" t="s">
        <v>1873</v>
      </c>
      <c r="E134" s="25">
        <v>45765.25587863289</v>
      </c>
      <c r="F134" s="23" t="s">
        <v>1874</v>
      </c>
      <c r="G134" s="23" t="s">
        <v>2149</v>
      </c>
      <c r="H134" s="23" t="s">
        <v>1909</v>
      </c>
      <c r="I134" s="23">
        <v>3.0</v>
      </c>
      <c r="J134" s="23" t="s">
        <v>1876</v>
      </c>
    </row>
    <row r="135" ht="18.0" customHeight="1">
      <c r="A135" s="23" t="s">
        <v>2150</v>
      </c>
      <c r="B135" s="23" t="s">
        <v>277</v>
      </c>
      <c r="C135" s="23" t="s">
        <v>175</v>
      </c>
      <c r="D135" s="23" t="s">
        <v>1878</v>
      </c>
      <c r="E135" s="25">
        <v>46044.53320240253</v>
      </c>
      <c r="F135" s="23" t="s">
        <v>404</v>
      </c>
      <c r="G135" s="23" t="s">
        <v>2151</v>
      </c>
      <c r="H135" s="23" t="s">
        <v>1583</v>
      </c>
      <c r="I135" s="23">
        <v>3.0</v>
      </c>
      <c r="J135" s="23" t="s">
        <v>1881</v>
      </c>
    </row>
    <row r="136" ht="18.0" customHeight="1">
      <c r="A136" s="23" t="s">
        <v>2152</v>
      </c>
      <c r="B136" s="23" t="s">
        <v>277</v>
      </c>
      <c r="C136" s="23" t="s">
        <v>336</v>
      </c>
      <c r="D136" s="23" t="s">
        <v>1883</v>
      </c>
      <c r="E136" s="25">
        <v>46162.617030314635</v>
      </c>
      <c r="F136" s="23" t="s">
        <v>342</v>
      </c>
      <c r="G136" s="23" t="s">
        <v>2153</v>
      </c>
      <c r="H136" s="23" t="s">
        <v>1583</v>
      </c>
      <c r="I136" s="23">
        <v>1.0</v>
      </c>
      <c r="J136" s="23" t="s">
        <v>1885</v>
      </c>
    </row>
    <row r="137" ht="18.0" customHeight="1">
      <c r="A137" s="23" t="s">
        <v>2154</v>
      </c>
      <c r="B137" s="23" t="s">
        <v>277</v>
      </c>
      <c r="C137" s="23" t="s">
        <v>184</v>
      </c>
      <c r="D137" s="23" t="s">
        <v>1887</v>
      </c>
      <c r="E137" s="25">
        <v>46154.11756504304</v>
      </c>
      <c r="F137" s="23" t="s">
        <v>11</v>
      </c>
      <c r="G137" s="23" t="s">
        <v>2155</v>
      </c>
      <c r="H137" s="23" t="s">
        <v>1892</v>
      </c>
      <c r="I137" s="23">
        <v>1.0</v>
      </c>
      <c r="J137" s="23" t="s">
        <v>1889</v>
      </c>
    </row>
    <row r="138" ht="18.0" customHeight="1">
      <c r="A138" s="23" t="s">
        <v>2156</v>
      </c>
      <c r="B138" s="23" t="s">
        <v>277</v>
      </c>
      <c r="C138" s="23" t="s">
        <v>545</v>
      </c>
      <c r="D138" s="23" t="s">
        <v>1898</v>
      </c>
      <c r="E138" s="25">
        <v>45676.708859738894</v>
      </c>
      <c r="F138" s="23" t="s">
        <v>1874</v>
      </c>
      <c r="G138" s="23" t="s">
        <v>2157</v>
      </c>
      <c r="H138" s="23" t="s">
        <v>1583</v>
      </c>
      <c r="I138" s="23">
        <v>2.0</v>
      </c>
      <c r="J138" s="23" t="s">
        <v>1900</v>
      </c>
    </row>
    <row r="139" ht="18.0" customHeight="1">
      <c r="A139" s="23" t="s">
        <v>2158</v>
      </c>
      <c r="B139" s="23" t="s">
        <v>277</v>
      </c>
      <c r="C139" s="23" t="s">
        <v>353</v>
      </c>
      <c r="D139" s="23" t="s">
        <v>1902</v>
      </c>
      <c r="E139" s="25">
        <v>45892.642355974065</v>
      </c>
      <c r="F139" s="23" t="s">
        <v>404</v>
      </c>
      <c r="G139" s="23" t="s">
        <v>2159</v>
      </c>
      <c r="H139" s="23" t="s">
        <v>1583</v>
      </c>
      <c r="I139" s="23">
        <v>2.0</v>
      </c>
      <c r="J139" s="23" t="s">
        <v>1904</v>
      </c>
    </row>
    <row r="140" ht="18.0" customHeight="1">
      <c r="A140" s="23" t="s">
        <v>2160</v>
      </c>
      <c r="B140" s="23" t="s">
        <v>285</v>
      </c>
      <c r="C140" s="23" t="s">
        <v>507</v>
      </c>
      <c r="D140" s="23" t="s">
        <v>1887</v>
      </c>
      <c r="E140" s="25">
        <v>45850.175078561995</v>
      </c>
      <c r="F140" s="23" t="s">
        <v>404</v>
      </c>
      <c r="G140" s="23" t="s">
        <v>2161</v>
      </c>
      <c r="H140" s="23" t="s">
        <v>1880</v>
      </c>
      <c r="I140" s="23">
        <v>1.0</v>
      </c>
      <c r="J140" s="23" t="s">
        <v>1889</v>
      </c>
    </row>
    <row r="141" ht="18.0" customHeight="1">
      <c r="A141" s="23" t="s">
        <v>2162</v>
      </c>
      <c r="B141" s="23" t="s">
        <v>285</v>
      </c>
      <c r="C141" s="23" t="s">
        <v>527</v>
      </c>
      <c r="D141" s="23" t="s">
        <v>1898</v>
      </c>
      <c r="E141" s="25">
        <v>45316.38143657404</v>
      </c>
      <c r="F141" s="23" t="s">
        <v>342</v>
      </c>
      <c r="G141" s="23" t="s">
        <v>2163</v>
      </c>
      <c r="H141" s="23" t="s">
        <v>1583</v>
      </c>
      <c r="I141" s="23">
        <v>2.0</v>
      </c>
      <c r="J141" s="23" t="s">
        <v>1900</v>
      </c>
    </row>
    <row r="142" ht="18.0" customHeight="1">
      <c r="A142" s="23" t="s">
        <v>2164</v>
      </c>
      <c r="B142" s="23" t="s">
        <v>285</v>
      </c>
      <c r="C142" s="23" t="s">
        <v>496</v>
      </c>
      <c r="D142" s="23" t="s">
        <v>1902</v>
      </c>
      <c r="E142" s="25">
        <v>46132.294832829386</v>
      </c>
      <c r="F142" s="23" t="s">
        <v>11</v>
      </c>
      <c r="G142" s="23" t="s">
        <v>2165</v>
      </c>
      <c r="H142" s="23" t="s">
        <v>1583</v>
      </c>
      <c r="I142" s="23">
        <v>2.0</v>
      </c>
      <c r="J142" s="23" t="s">
        <v>1904</v>
      </c>
    </row>
    <row r="143" ht="18.0" customHeight="1">
      <c r="A143" s="23" t="s">
        <v>2166</v>
      </c>
      <c r="B143" s="23" t="s">
        <v>285</v>
      </c>
      <c r="C143" s="23" t="s">
        <v>136</v>
      </c>
      <c r="D143" s="23" t="s">
        <v>1864</v>
      </c>
      <c r="E143" s="25">
        <v>45893.45355333225</v>
      </c>
      <c r="F143" s="23" t="s">
        <v>1874</v>
      </c>
      <c r="G143" s="23" t="s">
        <v>2167</v>
      </c>
      <c r="H143" s="23" t="s">
        <v>1909</v>
      </c>
      <c r="I143" s="23">
        <v>1.0</v>
      </c>
      <c r="J143" s="23" t="s">
        <v>1867</v>
      </c>
    </row>
    <row r="144" ht="18.0" customHeight="1">
      <c r="A144" s="23" t="s">
        <v>2168</v>
      </c>
      <c r="B144" s="23" t="s">
        <v>285</v>
      </c>
      <c r="C144" s="23" t="s">
        <v>281</v>
      </c>
      <c r="D144" s="23" t="s">
        <v>1869</v>
      </c>
      <c r="E144" s="25">
        <v>45407.656658892985</v>
      </c>
      <c r="F144" s="23" t="s">
        <v>404</v>
      </c>
      <c r="G144" s="23" t="s">
        <v>2169</v>
      </c>
      <c r="H144" s="23" t="s">
        <v>1583</v>
      </c>
      <c r="I144" s="23">
        <v>4.0</v>
      </c>
      <c r="J144" s="23" t="s">
        <v>1871</v>
      </c>
    </row>
    <row r="145" ht="18.0" customHeight="1">
      <c r="A145" s="23" t="s">
        <v>2170</v>
      </c>
      <c r="B145" s="23" t="s">
        <v>285</v>
      </c>
      <c r="C145" s="23" t="s">
        <v>234</v>
      </c>
      <c r="D145" s="23" t="s">
        <v>1873</v>
      </c>
      <c r="E145" s="25">
        <v>45761.943917972734</v>
      </c>
      <c r="F145" s="23" t="s">
        <v>342</v>
      </c>
      <c r="G145" s="23" t="s">
        <v>2171</v>
      </c>
      <c r="H145" s="23" t="s">
        <v>1583</v>
      </c>
      <c r="I145" s="23">
        <v>3.0</v>
      </c>
      <c r="J145" s="23" t="s">
        <v>1876</v>
      </c>
    </row>
    <row r="146" ht="18.0" customHeight="1">
      <c r="A146" s="23" t="s">
        <v>2172</v>
      </c>
      <c r="B146" s="23" t="s">
        <v>295</v>
      </c>
      <c r="C146" s="23" t="s">
        <v>147</v>
      </c>
      <c r="D146" s="23" t="s">
        <v>1864</v>
      </c>
      <c r="E146" s="25">
        <v>45720.39403905999</v>
      </c>
      <c r="F146" s="23" t="s">
        <v>342</v>
      </c>
      <c r="G146" s="23" t="s">
        <v>2173</v>
      </c>
      <c r="H146" s="23" t="s">
        <v>1866</v>
      </c>
      <c r="I146" s="23">
        <v>1.0</v>
      </c>
      <c r="J146" s="23" t="s">
        <v>1867</v>
      </c>
    </row>
    <row r="147" ht="18.0" customHeight="1">
      <c r="A147" s="23" t="s">
        <v>2174</v>
      </c>
      <c r="B147" s="23" t="s">
        <v>295</v>
      </c>
      <c r="C147" s="23" t="s">
        <v>331</v>
      </c>
      <c r="D147" s="23" t="s">
        <v>1869</v>
      </c>
      <c r="E147" s="25">
        <v>45884.39946006355</v>
      </c>
      <c r="F147" s="23" t="s">
        <v>11</v>
      </c>
      <c r="G147" s="23" t="s">
        <v>2175</v>
      </c>
      <c r="H147" s="23" t="s">
        <v>1583</v>
      </c>
      <c r="I147" s="23">
        <v>4.0</v>
      </c>
      <c r="J147" s="23" t="s">
        <v>1871</v>
      </c>
    </row>
    <row r="148" ht="18.0" customHeight="1">
      <c r="A148" s="23" t="s">
        <v>2176</v>
      </c>
      <c r="B148" s="23" t="s">
        <v>295</v>
      </c>
      <c r="C148" s="23" t="s">
        <v>320</v>
      </c>
      <c r="D148" s="23" t="s">
        <v>1873</v>
      </c>
      <c r="E148" s="25">
        <v>45658.699720059056</v>
      </c>
      <c r="F148" s="23" t="s">
        <v>1874</v>
      </c>
      <c r="G148" s="23" t="s">
        <v>2177</v>
      </c>
      <c r="H148" s="23" t="s">
        <v>1583</v>
      </c>
      <c r="I148" s="23">
        <v>3.0</v>
      </c>
      <c r="J148" s="23" t="s">
        <v>1876</v>
      </c>
    </row>
    <row r="149" ht="18.0" customHeight="1">
      <c r="A149" s="23" t="s">
        <v>2178</v>
      </c>
      <c r="B149" s="23" t="s">
        <v>295</v>
      </c>
      <c r="C149" s="23" t="s">
        <v>198</v>
      </c>
      <c r="D149" s="23" t="s">
        <v>1878</v>
      </c>
      <c r="E149" s="25">
        <v>45540.492551916046</v>
      </c>
      <c r="F149" s="23" t="s">
        <v>404</v>
      </c>
      <c r="G149" s="23" t="s">
        <v>2179</v>
      </c>
      <c r="H149" s="23" t="s">
        <v>1880</v>
      </c>
      <c r="I149" s="23">
        <v>3.0</v>
      </c>
      <c r="J149" s="23" t="s">
        <v>1881</v>
      </c>
    </row>
    <row r="150" ht="18.0" customHeight="1">
      <c r="A150" s="23" t="s">
        <v>2180</v>
      </c>
      <c r="B150" s="23" t="s">
        <v>295</v>
      </c>
      <c r="C150" s="23" t="s">
        <v>281</v>
      </c>
      <c r="D150" s="23" t="s">
        <v>1883</v>
      </c>
      <c r="E150" s="25">
        <v>46138.731465222314</v>
      </c>
      <c r="F150" s="23" t="s">
        <v>342</v>
      </c>
      <c r="G150" s="23" t="s">
        <v>2181</v>
      </c>
      <c r="H150" s="23" t="s">
        <v>1583</v>
      </c>
      <c r="I150" s="23">
        <v>1.0</v>
      </c>
      <c r="J150" s="23" t="s">
        <v>1885</v>
      </c>
    </row>
    <row r="151" ht="18.0" customHeight="1">
      <c r="A151" s="23" t="s">
        <v>2182</v>
      </c>
      <c r="B151" s="23" t="s">
        <v>295</v>
      </c>
      <c r="C151" s="23" t="s">
        <v>353</v>
      </c>
      <c r="D151" s="23" t="s">
        <v>1887</v>
      </c>
      <c r="E151" s="25">
        <v>45434.0786696414</v>
      </c>
      <c r="F151" s="23" t="s">
        <v>11</v>
      </c>
      <c r="G151" s="23" t="s">
        <v>2183</v>
      </c>
      <c r="H151" s="23" t="s">
        <v>1583</v>
      </c>
      <c r="I151" s="23">
        <v>1.0</v>
      </c>
      <c r="J151" s="23" t="s">
        <v>1889</v>
      </c>
    </row>
    <row r="152" ht="18.0" customHeight="1">
      <c r="A152" s="23" t="s">
        <v>2184</v>
      </c>
      <c r="B152" s="23" t="s">
        <v>305</v>
      </c>
      <c r="C152" s="23" t="s">
        <v>242</v>
      </c>
      <c r="D152" s="23" t="s">
        <v>1878</v>
      </c>
      <c r="E152" s="25">
        <v>45544.69085659413</v>
      </c>
      <c r="F152" s="23" t="s">
        <v>11</v>
      </c>
      <c r="G152" s="23" t="s">
        <v>2185</v>
      </c>
      <c r="H152" s="23" t="s">
        <v>1892</v>
      </c>
      <c r="I152" s="23">
        <v>3.0</v>
      </c>
      <c r="J152" s="23" t="s">
        <v>1881</v>
      </c>
    </row>
    <row r="153" ht="18.0" customHeight="1">
      <c r="A153" s="23" t="s">
        <v>2186</v>
      </c>
      <c r="B153" s="23" t="s">
        <v>305</v>
      </c>
      <c r="C153" s="23" t="s">
        <v>281</v>
      </c>
      <c r="D153" s="23" t="s">
        <v>1883</v>
      </c>
      <c r="E153" s="25">
        <v>46082.046305794036</v>
      </c>
      <c r="F153" s="23" t="s">
        <v>1874</v>
      </c>
      <c r="G153" s="23" t="s">
        <v>2187</v>
      </c>
      <c r="H153" s="23" t="s">
        <v>1583</v>
      </c>
      <c r="I153" s="23">
        <v>1.0</v>
      </c>
      <c r="J153" s="23" t="s">
        <v>1885</v>
      </c>
    </row>
    <row r="154" ht="18.0" customHeight="1">
      <c r="A154" s="23" t="s">
        <v>2188</v>
      </c>
      <c r="B154" s="23" t="s">
        <v>305</v>
      </c>
      <c r="C154" s="23" t="s">
        <v>465</v>
      </c>
      <c r="D154" s="23" t="s">
        <v>1887</v>
      </c>
      <c r="E154" s="25">
        <v>46036.11164599005</v>
      </c>
      <c r="F154" s="23" t="s">
        <v>404</v>
      </c>
      <c r="G154" s="23" t="s">
        <v>2189</v>
      </c>
      <c r="H154" s="23" t="s">
        <v>1583</v>
      </c>
      <c r="I154" s="23">
        <v>1.0</v>
      </c>
      <c r="J154" s="23" t="s">
        <v>1889</v>
      </c>
    </row>
    <row r="155" ht="18.0" customHeight="1">
      <c r="A155" s="23" t="s">
        <v>2190</v>
      </c>
      <c r="B155" s="23" t="s">
        <v>305</v>
      </c>
      <c r="C155" s="23" t="s">
        <v>465</v>
      </c>
      <c r="D155" s="23" t="s">
        <v>1898</v>
      </c>
      <c r="E155" s="25">
        <v>45931.83498809417</v>
      </c>
      <c r="F155" s="23" t="s">
        <v>342</v>
      </c>
      <c r="G155" s="23" t="s">
        <v>2191</v>
      </c>
      <c r="H155" s="23" t="s">
        <v>1866</v>
      </c>
      <c r="I155" s="23">
        <v>2.0</v>
      </c>
      <c r="J155" s="23" t="s">
        <v>1900</v>
      </c>
    </row>
    <row r="156" ht="18.0" customHeight="1">
      <c r="A156" s="23" t="s">
        <v>2192</v>
      </c>
      <c r="B156" s="23" t="s">
        <v>305</v>
      </c>
      <c r="C156" s="23" t="s">
        <v>80</v>
      </c>
      <c r="D156" s="23" t="s">
        <v>1902</v>
      </c>
      <c r="E156" s="25">
        <v>46037.04747434193</v>
      </c>
      <c r="F156" s="23" t="s">
        <v>11</v>
      </c>
      <c r="G156" s="23" t="s">
        <v>2193</v>
      </c>
      <c r="H156" s="23" t="s">
        <v>1583</v>
      </c>
      <c r="I156" s="23">
        <v>2.0</v>
      </c>
      <c r="J156" s="23" t="s">
        <v>1904</v>
      </c>
    </row>
    <row r="157" ht="18.0" customHeight="1">
      <c r="A157" s="23" t="s">
        <v>2194</v>
      </c>
      <c r="B157" s="23" t="s">
        <v>305</v>
      </c>
      <c r="C157" s="23" t="s">
        <v>234</v>
      </c>
      <c r="D157" s="23" t="s">
        <v>1864</v>
      </c>
      <c r="E157" s="25">
        <v>45906.34198528412</v>
      </c>
      <c r="F157" s="23" t="s">
        <v>1874</v>
      </c>
      <c r="G157" s="23" t="s">
        <v>2195</v>
      </c>
      <c r="H157" s="23" t="s">
        <v>1583</v>
      </c>
      <c r="I157" s="23">
        <v>1.0</v>
      </c>
      <c r="J157" s="23" t="s">
        <v>1867</v>
      </c>
    </row>
    <row r="158" ht="18.0" customHeight="1">
      <c r="A158" s="23" t="s">
        <v>2196</v>
      </c>
      <c r="B158" s="23" t="s">
        <v>315</v>
      </c>
      <c r="C158" s="23" t="s">
        <v>465</v>
      </c>
      <c r="D158" s="23" t="s">
        <v>1898</v>
      </c>
      <c r="E158" s="25">
        <v>45781.213036477566</v>
      </c>
      <c r="F158" s="23" t="s">
        <v>1874</v>
      </c>
      <c r="G158" s="23" t="s">
        <v>2197</v>
      </c>
      <c r="H158" s="23" t="s">
        <v>1909</v>
      </c>
      <c r="I158" s="23">
        <v>2.0</v>
      </c>
      <c r="J158" s="23" t="s">
        <v>1900</v>
      </c>
    </row>
    <row r="159" ht="18.0" customHeight="1">
      <c r="A159" s="23" t="s">
        <v>2198</v>
      </c>
      <c r="B159" s="23" t="s">
        <v>315</v>
      </c>
      <c r="C159" s="23" t="s">
        <v>222</v>
      </c>
      <c r="D159" s="23" t="s">
        <v>1902</v>
      </c>
      <c r="E159" s="25">
        <v>46220.71269523562</v>
      </c>
      <c r="F159" s="23" t="s">
        <v>404</v>
      </c>
      <c r="G159" s="23" t="s">
        <v>2199</v>
      </c>
      <c r="H159" s="23" t="s">
        <v>1583</v>
      </c>
      <c r="I159" s="23">
        <v>2.0</v>
      </c>
      <c r="J159" s="23" t="s">
        <v>1904</v>
      </c>
    </row>
    <row r="160" ht="18.0" customHeight="1">
      <c r="A160" s="23" t="s">
        <v>2200</v>
      </c>
      <c r="B160" s="23" t="s">
        <v>315</v>
      </c>
      <c r="C160" s="23" t="s">
        <v>264</v>
      </c>
      <c r="D160" s="23" t="s">
        <v>1864</v>
      </c>
      <c r="E160" s="25">
        <v>46197.02046379587</v>
      </c>
      <c r="F160" s="23" t="s">
        <v>342</v>
      </c>
      <c r="G160" s="23" t="s">
        <v>2201</v>
      </c>
      <c r="H160" s="23" t="s">
        <v>1583</v>
      </c>
      <c r="I160" s="23">
        <v>1.0</v>
      </c>
      <c r="J160" s="23" t="s">
        <v>1867</v>
      </c>
    </row>
    <row r="161" ht="18.0" customHeight="1">
      <c r="A161" s="23" t="s">
        <v>2202</v>
      </c>
      <c r="B161" s="23" t="s">
        <v>315</v>
      </c>
      <c r="C161" s="23" t="s">
        <v>311</v>
      </c>
      <c r="D161" s="23" t="s">
        <v>1869</v>
      </c>
      <c r="E161" s="25">
        <v>45475.27631198778</v>
      </c>
      <c r="F161" s="23" t="s">
        <v>11</v>
      </c>
      <c r="G161" s="23" t="s">
        <v>2203</v>
      </c>
      <c r="H161" s="23" t="s">
        <v>1892</v>
      </c>
      <c r="I161" s="23">
        <v>4.0</v>
      </c>
      <c r="J161" s="23" t="s">
        <v>1871</v>
      </c>
    </row>
    <row r="162" ht="18.0" customHeight="1">
      <c r="A162" s="23" t="s">
        <v>2204</v>
      </c>
      <c r="B162" s="23" t="s">
        <v>315</v>
      </c>
      <c r="C162" s="23" t="s">
        <v>147</v>
      </c>
      <c r="D162" s="23" t="s">
        <v>1873</v>
      </c>
      <c r="E162" s="25">
        <v>46078.17633011099</v>
      </c>
      <c r="F162" s="23" t="s">
        <v>1874</v>
      </c>
      <c r="G162" s="23" t="s">
        <v>2205</v>
      </c>
      <c r="H162" s="23" t="s">
        <v>1583</v>
      </c>
      <c r="I162" s="23">
        <v>3.0</v>
      </c>
      <c r="J162" s="23" t="s">
        <v>1876</v>
      </c>
    </row>
    <row r="163" ht="18.0" customHeight="1">
      <c r="A163" s="23" t="s">
        <v>2206</v>
      </c>
      <c r="B163" s="23" t="s">
        <v>315</v>
      </c>
      <c r="C163" s="23" t="s">
        <v>242</v>
      </c>
      <c r="D163" s="23" t="s">
        <v>1878</v>
      </c>
      <c r="E163" s="25">
        <v>45849.20965745789</v>
      </c>
      <c r="F163" s="23" t="s">
        <v>404</v>
      </c>
      <c r="G163" s="23" t="s">
        <v>2207</v>
      </c>
      <c r="H163" s="23" t="s">
        <v>1583</v>
      </c>
      <c r="I163" s="23">
        <v>3.0</v>
      </c>
      <c r="J163" s="23" t="s">
        <v>1881</v>
      </c>
    </row>
    <row r="164" ht="18.0" customHeight="1">
      <c r="A164" s="23" t="s">
        <v>2208</v>
      </c>
      <c r="B164" s="23" t="s">
        <v>323</v>
      </c>
      <c r="C164" s="23" t="s">
        <v>527</v>
      </c>
      <c r="D164" s="23" t="s">
        <v>1869</v>
      </c>
      <c r="E164" s="25">
        <v>45570.876756251324</v>
      </c>
      <c r="F164" s="23" t="s">
        <v>404</v>
      </c>
      <c r="G164" s="23" t="s">
        <v>2209</v>
      </c>
      <c r="H164" s="23" t="s">
        <v>1880</v>
      </c>
      <c r="I164" s="23">
        <v>4.0</v>
      </c>
      <c r="J164" s="23" t="s">
        <v>1871</v>
      </c>
    </row>
    <row r="165" ht="18.0" customHeight="1">
      <c r="A165" s="23" t="s">
        <v>2210</v>
      </c>
      <c r="B165" s="23" t="s">
        <v>323</v>
      </c>
      <c r="C165" s="23" t="s">
        <v>356</v>
      </c>
      <c r="D165" s="23" t="s">
        <v>1873</v>
      </c>
      <c r="E165" s="25">
        <v>45723.450540129794</v>
      </c>
      <c r="F165" s="23" t="s">
        <v>342</v>
      </c>
      <c r="G165" s="23" t="s">
        <v>2211</v>
      </c>
      <c r="H165" s="23" t="s">
        <v>1583</v>
      </c>
      <c r="I165" s="23">
        <v>3.0</v>
      </c>
      <c r="J165" s="23" t="s">
        <v>1876</v>
      </c>
    </row>
    <row r="166" ht="18.0" customHeight="1">
      <c r="A166" s="23" t="s">
        <v>2212</v>
      </c>
      <c r="B166" s="23" t="s">
        <v>323</v>
      </c>
      <c r="C166" s="23" t="s">
        <v>177</v>
      </c>
      <c r="D166" s="23" t="s">
        <v>1878</v>
      </c>
      <c r="E166" s="25">
        <v>45973.971096811816</v>
      </c>
      <c r="F166" s="23" t="s">
        <v>11</v>
      </c>
      <c r="G166" s="23" t="s">
        <v>2213</v>
      </c>
      <c r="H166" s="23" t="s">
        <v>1583</v>
      </c>
      <c r="I166" s="23">
        <v>3.0</v>
      </c>
      <c r="J166" s="23" t="s">
        <v>1881</v>
      </c>
    </row>
    <row r="167" ht="18.0" customHeight="1">
      <c r="A167" s="23" t="s">
        <v>2214</v>
      </c>
      <c r="B167" s="23" t="s">
        <v>323</v>
      </c>
      <c r="C167" s="23" t="s">
        <v>496</v>
      </c>
      <c r="D167" s="23" t="s">
        <v>1883</v>
      </c>
      <c r="E167" s="25">
        <v>46021.50016708695</v>
      </c>
      <c r="F167" s="23" t="s">
        <v>1874</v>
      </c>
      <c r="G167" s="23" t="s">
        <v>2215</v>
      </c>
      <c r="H167" s="23" t="s">
        <v>1909</v>
      </c>
      <c r="I167" s="23">
        <v>1.0</v>
      </c>
      <c r="J167" s="23" t="s">
        <v>1885</v>
      </c>
    </row>
    <row r="168" ht="18.0" customHeight="1">
      <c r="A168" s="23" t="s">
        <v>2216</v>
      </c>
      <c r="B168" s="23" t="s">
        <v>323</v>
      </c>
      <c r="C168" s="23" t="s">
        <v>257</v>
      </c>
      <c r="D168" s="23" t="s">
        <v>1887</v>
      </c>
      <c r="E168" s="25">
        <v>46030.571137770545</v>
      </c>
      <c r="F168" s="23" t="s">
        <v>404</v>
      </c>
      <c r="G168" s="23" t="s">
        <v>2217</v>
      </c>
      <c r="H168" s="23" t="s">
        <v>1583</v>
      </c>
      <c r="I168" s="23">
        <v>1.0</v>
      </c>
      <c r="J168" s="23" t="s">
        <v>1889</v>
      </c>
    </row>
    <row r="169" ht="18.0" customHeight="1">
      <c r="A169" s="23" t="s">
        <v>2218</v>
      </c>
      <c r="B169" s="23" t="s">
        <v>323</v>
      </c>
      <c r="C169" s="23" t="s">
        <v>210</v>
      </c>
      <c r="D169" s="23" t="s">
        <v>1898</v>
      </c>
      <c r="E169" s="25">
        <v>45351.11448731995</v>
      </c>
      <c r="F169" s="23" t="s">
        <v>342</v>
      </c>
      <c r="G169" s="23" t="s">
        <v>2219</v>
      </c>
      <c r="H169" s="23" t="s">
        <v>1583</v>
      </c>
      <c r="I169" s="23">
        <v>2.0</v>
      </c>
      <c r="J169" s="23" t="s">
        <v>1900</v>
      </c>
    </row>
    <row r="170" ht="18.0" customHeight="1">
      <c r="A170" s="23" t="s">
        <v>2220</v>
      </c>
      <c r="B170" s="23" t="s">
        <v>330</v>
      </c>
      <c r="C170" s="23" t="s">
        <v>43</v>
      </c>
      <c r="D170" s="23" t="s">
        <v>1883</v>
      </c>
      <c r="E170" s="25">
        <v>45978.775116492994</v>
      </c>
      <c r="F170" s="23" t="s">
        <v>342</v>
      </c>
      <c r="G170" s="23" t="s">
        <v>2221</v>
      </c>
      <c r="H170" s="23" t="s">
        <v>1866</v>
      </c>
      <c r="I170" s="23">
        <v>1.0</v>
      </c>
      <c r="J170" s="23" t="s">
        <v>1885</v>
      </c>
    </row>
    <row r="171" ht="18.0" customHeight="1">
      <c r="A171" s="23" t="s">
        <v>2222</v>
      </c>
      <c r="B171" s="23" t="s">
        <v>330</v>
      </c>
      <c r="C171" s="23" t="s">
        <v>175</v>
      </c>
      <c r="D171" s="23" t="s">
        <v>1887</v>
      </c>
      <c r="E171" s="25">
        <v>46031.04938330059</v>
      </c>
      <c r="F171" s="23" t="s">
        <v>11</v>
      </c>
      <c r="G171" s="23" t="s">
        <v>2223</v>
      </c>
      <c r="H171" s="23" t="s">
        <v>1583</v>
      </c>
      <c r="I171" s="23">
        <v>1.0</v>
      </c>
      <c r="J171" s="23" t="s">
        <v>1889</v>
      </c>
    </row>
    <row r="172" ht="18.0" customHeight="1">
      <c r="A172" s="23" t="s">
        <v>2224</v>
      </c>
      <c r="B172" s="23" t="s">
        <v>330</v>
      </c>
      <c r="C172" s="23" t="s">
        <v>257</v>
      </c>
      <c r="D172" s="23" t="s">
        <v>1898</v>
      </c>
      <c r="E172" s="25">
        <v>45404.26669595996</v>
      </c>
      <c r="F172" s="23" t="s">
        <v>1874</v>
      </c>
      <c r="G172" s="23" t="s">
        <v>2225</v>
      </c>
      <c r="H172" s="23" t="s">
        <v>1583</v>
      </c>
      <c r="I172" s="23">
        <v>2.0</v>
      </c>
      <c r="J172" s="23" t="s">
        <v>1900</v>
      </c>
    </row>
    <row r="173" ht="18.0" customHeight="1">
      <c r="A173" s="23" t="s">
        <v>2226</v>
      </c>
      <c r="B173" s="23" t="s">
        <v>330</v>
      </c>
      <c r="C173" s="23" t="s">
        <v>320</v>
      </c>
      <c r="D173" s="23" t="s">
        <v>1902</v>
      </c>
      <c r="E173" s="25">
        <v>45965.05685437727</v>
      </c>
      <c r="F173" s="23" t="s">
        <v>404</v>
      </c>
      <c r="G173" s="23" t="s">
        <v>2227</v>
      </c>
      <c r="H173" s="23" t="s">
        <v>1880</v>
      </c>
      <c r="I173" s="23">
        <v>2.0</v>
      </c>
      <c r="J173" s="23" t="s">
        <v>1904</v>
      </c>
    </row>
    <row r="174" ht="18.0" customHeight="1">
      <c r="A174" s="23" t="s">
        <v>2228</v>
      </c>
      <c r="B174" s="23" t="s">
        <v>330</v>
      </c>
      <c r="C174" s="23" t="s">
        <v>376</v>
      </c>
      <c r="D174" s="23" t="s">
        <v>1864</v>
      </c>
      <c r="E174" s="25">
        <v>45532.85078286752</v>
      </c>
      <c r="F174" s="23" t="s">
        <v>342</v>
      </c>
      <c r="G174" s="23" t="s">
        <v>2229</v>
      </c>
      <c r="H174" s="23" t="s">
        <v>1583</v>
      </c>
      <c r="I174" s="23">
        <v>1.0</v>
      </c>
      <c r="J174" s="23" t="s">
        <v>1867</v>
      </c>
    </row>
    <row r="175" ht="18.0" customHeight="1">
      <c r="A175" s="23" t="s">
        <v>2230</v>
      </c>
      <c r="B175" s="23" t="s">
        <v>330</v>
      </c>
      <c r="C175" s="23" t="s">
        <v>545</v>
      </c>
      <c r="D175" s="23" t="s">
        <v>1869</v>
      </c>
      <c r="E175" s="25">
        <v>46219.791249608854</v>
      </c>
      <c r="F175" s="23" t="s">
        <v>11</v>
      </c>
      <c r="G175" s="23" t="s">
        <v>2231</v>
      </c>
      <c r="H175" s="23" t="s">
        <v>1583</v>
      </c>
      <c r="I175" s="23">
        <v>4.0</v>
      </c>
      <c r="J175" s="23" t="s">
        <v>1871</v>
      </c>
    </row>
    <row r="176" ht="18.0" customHeight="1">
      <c r="A176" s="23" t="s">
        <v>2232</v>
      </c>
      <c r="B176" s="23" t="s">
        <v>339</v>
      </c>
      <c r="C176" s="23" t="s">
        <v>241</v>
      </c>
      <c r="D176" s="23" t="s">
        <v>1902</v>
      </c>
      <c r="E176" s="25">
        <v>46204.31327456003</v>
      </c>
      <c r="F176" s="23" t="s">
        <v>11</v>
      </c>
      <c r="G176" s="23" t="s">
        <v>2233</v>
      </c>
      <c r="H176" s="23" t="s">
        <v>1892</v>
      </c>
      <c r="I176" s="23">
        <v>2.0</v>
      </c>
      <c r="J176" s="23" t="s">
        <v>1904</v>
      </c>
    </row>
    <row r="177" ht="18.0" customHeight="1">
      <c r="A177" s="23" t="s">
        <v>2234</v>
      </c>
      <c r="B177" s="23" t="s">
        <v>339</v>
      </c>
      <c r="C177" s="23" t="s">
        <v>424</v>
      </c>
      <c r="D177" s="23" t="s">
        <v>1864</v>
      </c>
      <c r="E177" s="25">
        <v>45490.238709216705</v>
      </c>
      <c r="F177" s="23" t="s">
        <v>1874</v>
      </c>
      <c r="G177" s="23" t="s">
        <v>2235</v>
      </c>
      <c r="H177" s="23" t="s">
        <v>1583</v>
      </c>
      <c r="I177" s="23">
        <v>1.0</v>
      </c>
      <c r="J177" s="23" t="s">
        <v>1867</v>
      </c>
    </row>
    <row r="178" ht="18.0" customHeight="1">
      <c r="A178" s="23" t="s">
        <v>2236</v>
      </c>
      <c r="B178" s="23" t="s">
        <v>339</v>
      </c>
      <c r="C178" s="23" t="s">
        <v>147</v>
      </c>
      <c r="D178" s="23" t="s">
        <v>1869</v>
      </c>
      <c r="E178" s="25">
        <v>45674.65295256954</v>
      </c>
      <c r="F178" s="23" t="s">
        <v>404</v>
      </c>
      <c r="G178" s="23" t="s">
        <v>2237</v>
      </c>
      <c r="H178" s="23" t="s">
        <v>1583</v>
      </c>
      <c r="I178" s="23">
        <v>4.0</v>
      </c>
      <c r="J178" s="23" t="s">
        <v>1871</v>
      </c>
    </row>
    <row r="179" ht="18.0" customHeight="1">
      <c r="A179" s="23" t="s">
        <v>2238</v>
      </c>
      <c r="B179" s="23" t="s">
        <v>339</v>
      </c>
      <c r="C179" s="23" t="s">
        <v>496</v>
      </c>
      <c r="D179" s="23" t="s">
        <v>1873</v>
      </c>
      <c r="E179" s="25">
        <v>45451.291762897046</v>
      </c>
      <c r="F179" s="23" t="s">
        <v>342</v>
      </c>
      <c r="G179" s="23" t="s">
        <v>2239</v>
      </c>
      <c r="H179" s="23" t="s">
        <v>1866</v>
      </c>
      <c r="I179" s="23">
        <v>3.0</v>
      </c>
      <c r="J179" s="23" t="s">
        <v>1876</v>
      </c>
    </row>
    <row r="180" ht="18.0" customHeight="1">
      <c r="A180" s="23" t="s">
        <v>2240</v>
      </c>
      <c r="B180" s="23" t="s">
        <v>339</v>
      </c>
      <c r="C180" s="23" t="s">
        <v>189</v>
      </c>
      <c r="D180" s="23" t="s">
        <v>1878</v>
      </c>
      <c r="E180" s="25">
        <v>45302.5433108476</v>
      </c>
      <c r="F180" s="23" t="s">
        <v>11</v>
      </c>
      <c r="G180" s="23" t="s">
        <v>2241</v>
      </c>
      <c r="H180" s="23" t="s">
        <v>1583</v>
      </c>
      <c r="I180" s="23">
        <v>3.0</v>
      </c>
      <c r="J180" s="23" t="s">
        <v>1881</v>
      </c>
    </row>
    <row r="181" ht="18.0" customHeight="1">
      <c r="A181" s="23" t="s">
        <v>2242</v>
      </c>
      <c r="B181" s="23" t="s">
        <v>339</v>
      </c>
      <c r="C181" s="23" t="s">
        <v>80</v>
      </c>
      <c r="D181" s="23" t="s">
        <v>1883</v>
      </c>
      <c r="E181" s="25">
        <v>46129.21700979839</v>
      </c>
      <c r="F181" s="23" t="s">
        <v>1874</v>
      </c>
      <c r="G181" s="23" t="s">
        <v>2243</v>
      </c>
      <c r="H181" s="23" t="s">
        <v>1583</v>
      </c>
      <c r="I181" s="23">
        <v>1.0</v>
      </c>
      <c r="J181" s="23" t="s">
        <v>1885</v>
      </c>
    </row>
    <row r="182" ht="18.0" customHeight="1">
      <c r="A182" s="23" t="s">
        <v>2244</v>
      </c>
      <c r="B182" s="23" t="s">
        <v>349</v>
      </c>
      <c r="C182" s="23" t="s">
        <v>112</v>
      </c>
      <c r="D182" s="23" t="s">
        <v>1873</v>
      </c>
      <c r="E182" s="25">
        <v>45682.15261458792</v>
      </c>
      <c r="F182" s="23" t="s">
        <v>1874</v>
      </c>
      <c r="G182" s="23" t="s">
        <v>2245</v>
      </c>
      <c r="H182" s="23" t="s">
        <v>1909</v>
      </c>
      <c r="I182" s="23">
        <v>3.0</v>
      </c>
      <c r="J182" s="23" t="s">
        <v>1876</v>
      </c>
    </row>
    <row r="183" ht="18.0" customHeight="1">
      <c r="A183" s="23" t="s">
        <v>2246</v>
      </c>
      <c r="B183" s="23" t="s">
        <v>349</v>
      </c>
      <c r="C183" s="23" t="s">
        <v>424</v>
      </c>
      <c r="D183" s="23" t="s">
        <v>1878</v>
      </c>
      <c r="E183" s="25">
        <v>45545.56946903118</v>
      </c>
      <c r="F183" s="23" t="s">
        <v>404</v>
      </c>
      <c r="G183" s="23" t="s">
        <v>2247</v>
      </c>
      <c r="H183" s="23" t="s">
        <v>1583</v>
      </c>
      <c r="I183" s="23">
        <v>3.0</v>
      </c>
      <c r="J183" s="23" t="s">
        <v>1881</v>
      </c>
    </row>
    <row r="184" ht="18.0" customHeight="1">
      <c r="A184" s="23" t="s">
        <v>2248</v>
      </c>
      <c r="B184" s="23" t="s">
        <v>349</v>
      </c>
      <c r="C184" s="23" t="s">
        <v>210</v>
      </c>
      <c r="D184" s="23" t="s">
        <v>1883</v>
      </c>
      <c r="E184" s="25">
        <v>46000.994430850726</v>
      </c>
      <c r="F184" s="23" t="s">
        <v>342</v>
      </c>
      <c r="G184" s="23" t="s">
        <v>2249</v>
      </c>
      <c r="H184" s="23" t="s">
        <v>1583</v>
      </c>
      <c r="I184" s="23">
        <v>1.0</v>
      </c>
      <c r="J184" s="23" t="s">
        <v>1885</v>
      </c>
    </row>
    <row r="185" ht="18.0" customHeight="1">
      <c r="A185" s="23" t="s">
        <v>2250</v>
      </c>
      <c r="B185" s="23" t="s">
        <v>349</v>
      </c>
      <c r="C185" s="23" t="s">
        <v>376</v>
      </c>
      <c r="D185" s="23" t="s">
        <v>1887</v>
      </c>
      <c r="E185" s="25">
        <v>45699.65504113934</v>
      </c>
      <c r="F185" s="23" t="s">
        <v>11</v>
      </c>
      <c r="G185" s="23" t="s">
        <v>2251</v>
      </c>
      <c r="H185" s="23" t="s">
        <v>1892</v>
      </c>
      <c r="I185" s="23">
        <v>1.0</v>
      </c>
      <c r="J185" s="23" t="s">
        <v>1889</v>
      </c>
    </row>
    <row r="186" ht="18.0" customHeight="1">
      <c r="A186" s="23" t="s">
        <v>2252</v>
      </c>
      <c r="B186" s="23" t="s">
        <v>349</v>
      </c>
      <c r="C186" s="23" t="s">
        <v>198</v>
      </c>
      <c r="D186" s="23" t="s">
        <v>1898</v>
      </c>
      <c r="E186" s="25">
        <v>45937.61075501237</v>
      </c>
      <c r="F186" s="23" t="s">
        <v>1874</v>
      </c>
      <c r="G186" s="23" t="s">
        <v>2253</v>
      </c>
      <c r="H186" s="23" t="s">
        <v>1583</v>
      </c>
      <c r="I186" s="23">
        <v>2.0</v>
      </c>
      <c r="J186" s="23" t="s">
        <v>1900</v>
      </c>
    </row>
    <row r="187" ht="18.0" customHeight="1">
      <c r="A187" s="23" t="s">
        <v>2254</v>
      </c>
      <c r="B187" s="23" t="s">
        <v>349</v>
      </c>
      <c r="C187" s="23" t="s">
        <v>112</v>
      </c>
      <c r="D187" s="23" t="s">
        <v>1902</v>
      </c>
      <c r="E187" s="25">
        <v>45547.49506002595</v>
      </c>
      <c r="F187" s="23" t="s">
        <v>404</v>
      </c>
      <c r="G187" s="23" t="s">
        <v>2255</v>
      </c>
      <c r="H187" s="23" t="s">
        <v>1583</v>
      </c>
      <c r="I187" s="23">
        <v>2.0</v>
      </c>
      <c r="J187" s="23" t="s">
        <v>1904</v>
      </c>
    </row>
    <row r="188" ht="18.0" customHeight="1">
      <c r="A188" s="23" t="s">
        <v>2256</v>
      </c>
      <c r="B188" s="23" t="s">
        <v>358</v>
      </c>
      <c r="C188" s="23" t="s">
        <v>527</v>
      </c>
      <c r="D188" s="23" t="s">
        <v>1887</v>
      </c>
      <c r="E188" s="25">
        <v>45798.418177376036</v>
      </c>
      <c r="F188" s="23" t="s">
        <v>404</v>
      </c>
      <c r="G188" s="23" t="s">
        <v>2257</v>
      </c>
      <c r="H188" s="23" t="s">
        <v>1880</v>
      </c>
      <c r="I188" s="23">
        <v>1.0</v>
      </c>
      <c r="J188" s="23" t="s">
        <v>1889</v>
      </c>
    </row>
    <row r="189" ht="18.0" customHeight="1">
      <c r="A189" s="23" t="s">
        <v>2258</v>
      </c>
      <c r="B189" s="23" t="s">
        <v>358</v>
      </c>
      <c r="C189" s="23" t="s">
        <v>331</v>
      </c>
      <c r="D189" s="23" t="s">
        <v>1898</v>
      </c>
      <c r="E189" s="25">
        <v>45569.46664138767</v>
      </c>
      <c r="F189" s="23" t="s">
        <v>342</v>
      </c>
      <c r="G189" s="23" t="s">
        <v>2259</v>
      </c>
      <c r="H189" s="23" t="s">
        <v>1583</v>
      </c>
      <c r="I189" s="23">
        <v>2.0</v>
      </c>
      <c r="J189" s="23" t="s">
        <v>1900</v>
      </c>
    </row>
    <row r="190" ht="18.0" customHeight="1">
      <c r="A190" s="23" t="s">
        <v>2260</v>
      </c>
      <c r="B190" s="23" t="s">
        <v>358</v>
      </c>
      <c r="C190" s="23" t="s">
        <v>489</v>
      </c>
      <c r="D190" s="23" t="s">
        <v>1902</v>
      </c>
      <c r="E190" s="25">
        <v>45304.286792092025</v>
      </c>
      <c r="F190" s="23" t="s">
        <v>11</v>
      </c>
      <c r="G190" s="23" t="s">
        <v>2261</v>
      </c>
      <c r="H190" s="23" t="s">
        <v>1583</v>
      </c>
      <c r="I190" s="23">
        <v>2.0</v>
      </c>
      <c r="J190" s="23" t="s">
        <v>1904</v>
      </c>
    </row>
    <row r="191" ht="18.0" customHeight="1">
      <c r="A191" s="23" t="s">
        <v>2262</v>
      </c>
      <c r="B191" s="23" t="s">
        <v>358</v>
      </c>
      <c r="C191" s="23" t="s">
        <v>496</v>
      </c>
      <c r="D191" s="23" t="s">
        <v>1864</v>
      </c>
      <c r="E191" s="25">
        <v>46189.941947775194</v>
      </c>
      <c r="F191" s="23" t="s">
        <v>1874</v>
      </c>
      <c r="G191" s="23" t="s">
        <v>2263</v>
      </c>
      <c r="H191" s="23" t="s">
        <v>1909</v>
      </c>
      <c r="I191" s="23">
        <v>1.0</v>
      </c>
      <c r="J191" s="23" t="s">
        <v>1867</v>
      </c>
    </row>
    <row r="192" ht="18.0" customHeight="1">
      <c r="A192" s="23" t="s">
        <v>2264</v>
      </c>
      <c r="B192" s="23" t="s">
        <v>358</v>
      </c>
      <c r="C192" s="23" t="s">
        <v>122</v>
      </c>
      <c r="D192" s="23" t="s">
        <v>1869</v>
      </c>
      <c r="E192" s="25">
        <v>45465.18424584856</v>
      </c>
      <c r="F192" s="23" t="s">
        <v>404</v>
      </c>
      <c r="G192" s="23" t="s">
        <v>2265</v>
      </c>
      <c r="H192" s="23" t="s">
        <v>1583</v>
      </c>
      <c r="I192" s="23">
        <v>4.0</v>
      </c>
      <c r="J192" s="23" t="s">
        <v>1871</v>
      </c>
    </row>
    <row r="193" ht="18.0" customHeight="1">
      <c r="A193" s="23" t="s">
        <v>2266</v>
      </c>
      <c r="B193" s="23" t="s">
        <v>358</v>
      </c>
      <c r="C193" s="23" t="s">
        <v>376</v>
      </c>
      <c r="D193" s="23" t="s">
        <v>1873</v>
      </c>
      <c r="E193" s="25">
        <v>45432.39109195932</v>
      </c>
      <c r="F193" s="23" t="s">
        <v>342</v>
      </c>
      <c r="G193" s="23" t="s">
        <v>2267</v>
      </c>
      <c r="H193" s="23" t="s">
        <v>1583</v>
      </c>
      <c r="I193" s="23">
        <v>3.0</v>
      </c>
      <c r="J193" s="23" t="s">
        <v>1876</v>
      </c>
    </row>
    <row r="194" ht="18.0" customHeight="1">
      <c r="A194" s="23" t="s">
        <v>2268</v>
      </c>
      <c r="B194" s="23" t="s">
        <v>364</v>
      </c>
      <c r="C194" s="23" t="s">
        <v>296</v>
      </c>
      <c r="D194" s="23" t="s">
        <v>1864</v>
      </c>
      <c r="E194" s="25">
        <v>45755.81595660653</v>
      </c>
      <c r="F194" s="23" t="s">
        <v>342</v>
      </c>
      <c r="G194" s="23" t="s">
        <v>2269</v>
      </c>
      <c r="H194" s="23" t="s">
        <v>1866</v>
      </c>
      <c r="I194" s="23">
        <v>1.0</v>
      </c>
      <c r="J194" s="23" t="s">
        <v>1867</v>
      </c>
    </row>
    <row r="195" ht="18.0" customHeight="1">
      <c r="A195" s="23" t="s">
        <v>2270</v>
      </c>
      <c r="B195" s="23" t="s">
        <v>364</v>
      </c>
      <c r="C195" s="23" t="s">
        <v>507</v>
      </c>
      <c r="D195" s="23" t="s">
        <v>1869</v>
      </c>
      <c r="E195" s="25">
        <v>46014.109689344885</v>
      </c>
      <c r="F195" s="23" t="s">
        <v>11</v>
      </c>
      <c r="G195" s="23" t="s">
        <v>2271</v>
      </c>
      <c r="H195" s="23" t="s">
        <v>1583</v>
      </c>
      <c r="I195" s="23">
        <v>4.0</v>
      </c>
      <c r="J195" s="23" t="s">
        <v>1871</v>
      </c>
    </row>
    <row r="196" ht="18.0" customHeight="1">
      <c r="A196" s="23" t="s">
        <v>2272</v>
      </c>
      <c r="B196" s="23" t="s">
        <v>364</v>
      </c>
      <c r="C196" s="23" t="s">
        <v>271</v>
      </c>
      <c r="D196" s="23" t="s">
        <v>1873</v>
      </c>
      <c r="E196" s="25">
        <v>45298.43960296409</v>
      </c>
      <c r="F196" s="23" t="s">
        <v>1874</v>
      </c>
      <c r="G196" s="23" t="s">
        <v>2273</v>
      </c>
      <c r="H196" s="23" t="s">
        <v>1583</v>
      </c>
      <c r="I196" s="23">
        <v>3.0</v>
      </c>
      <c r="J196" s="23" t="s">
        <v>1876</v>
      </c>
    </row>
    <row r="197" ht="18.0" customHeight="1">
      <c r="A197" s="23" t="s">
        <v>2274</v>
      </c>
      <c r="B197" s="23" t="s">
        <v>364</v>
      </c>
      <c r="C197" s="23" t="s">
        <v>517</v>
      </c>
      <c r="D197" s="23" t="s">
        <v>1878</v>
      </c>
      <c r="E197" s="25">
        <v>45586.04554673727</v>
      </c>
      <c r="F197" s="23" t="s">
        <v>404</v>
      </c>
      <c r="G197" s="23" t="s">
        <v>2275</v>
      </c>
      <c r="H197" s="23" t="s">
        <v>1880</v>
      </c>
      <c r="I197" s="23">
        <v>3.0</v>
      </c>
      <c r="J197" s="23" t="s">
        <v>1881</v>
      </c>
    </row>
    <row r="198" ht="18.0" customHeight="1">
      <c r="A198" s="23" t="s">
        <v>2276</v>
      </c>
      <c r="B198" s="23" t="s">
        <v>364</v>
      </c>
      <c r="C198" s="23" t="s">
        <v>489</v>
      </c>
      <c r="D198" s="23" t="s">
        <v>1883</v>
      </c>
      <c r="E198" s="25">
        <v>45551.23999254964</v>
      </c>
      <c r="F198" s="23" t="s">
        <v>342</v>
      </c>
      <c r="G198" s="23" t="s">
        <v>2277</v>
      </c>
      <c r="H198" s="23" t="s">
        <v>1583</v>
      </c>
      <c r="I198" s="23">
        <v>1.0</v>
      </c>
      <c r="J198" s="23" t="s">
        <v>1885</v>
      </c>
    </row>
    <row r="199" ht="18.0" customHeight="1">
      <c r="A199" s="23" t="s">
        <v>2278</v>
      </c>
      <c r="B199" s="23" t="s">
        <v>364</v>
      </c>
      <c r="C199" s="23" t="s">
        <v>336</v>
      </c>
      <c r="D199" s="23" t="s">
        <v>1887</v>
      </c>
      <c r="E199" s="25">
        <v>45333.69213882857</v>
      </c>
      <c r="F199" s="23" t="s">
        <v>11</v>
      </c>
      <c r="G199" s="23" t="s">
        <v>2279</v>
      </c>
      <c r="H199" s="23" t="s">
        <v>1583</v>
      </c>
      <c r="I199" s="23">
        <v>1.0</v>
      </c>
      <c r="J199" s="23" t="s">
        <v>1889</v>
      </c>
    </row>
    <row r="200" ht="18.0" customHeight="1">
      <c r="A200" s="23" t="s">
        <v>2280</v>
      </c>
      <c r="B200" s="23" t="s">
        <v>372</v>
      </c>
      <c r="C200" s="23" t="s">
        <v>222</v>
      </c>
      <c r="D200" s="23" t="s">
        <v>1878</v>
      </c>
      <c r="E200" s="25">
        <v>45797.631863154005</v>
      </c>
      <c r="F200" s="23" t="s">
        <v>11</v>
      </c>
      <c r="G200" s="23" t="s">
        <v>2281</v>
      </c>
      <c r="H200" s="23" t="s">
        <v>1892</v>
      </c>
      <c r="I200" s="23">
        <v>3.0</v>
      </c>
      <c r="J200" s="23" t="s">
        <v>1881</v>
      </c>
    </row>
    <row r="201" ht="18.0" customHeight="1">
      <c r="A201" s="23" t="s">
        <v>2282</v>
      </c>
      <c r="B201" s="23" t="s">
        <v>372</v>
      </c>
      <c r="C201" s="23" t="s">
        <v>356</v>
      </c>
      <c r="D201" s="23" t="s">
        <v>1883</v>
      </c>
      <c r="E201" s="25">
        <v>46021.751875333255</v>
      </c>
      <c r="F201" s="23" t="s">
        <v>1874</v>
      </c>
      <c r="G201" s="23" t="s">
        <v>2283</v>
      </c>
      <c r="H201" s="23" t="s">
        <v>1583</v>
      </c>
      <c r="I201" s="23">
        <v>1.0</v>
      </c>
      <c r="J201" s="23" t="s">
        <v>1885</v>
      </c>
    </row>
    <row r="202" ht="18.0" customHeight="1">
      <c r="A202" s="23" t="s">
        <v>2284</v>
      </c>
      <c r="B202" s="23" t="s">
        <v>372</v>
      </c>
      <c r="C202" s="23" t="s">
        <v>241</v>
      </c>
      <c r="D202" s="23" t="s">
        <v>1887</v>
      </c>
      <c r="E202" s="25">
        <v>45339.92555312533</v>
      </c>
      <c r="F202" s="23" t="s">
        <v>404</v>
      </c>
      <c r="G202" s="23" t="s">
        <v>2285</v>
      </c>
      <c r="H202" s="23" t="s">
        <v>1583</v>
      </c>
      <c r="I202" s="23">
        <v>1.0</v>
      </c>
      <c r="J202" s="23" t="s">
        <v>1889</v>
      </c>
    </row>
    <row r="203" ht="18.0" customHeight="1">
      <c r="A203" s="23" t="s">
        <v>2286</v>
      </c>
      <c r="B203" s="23" t="s">
        <v>372</v>
      </c>
      <c r="C203" s="23" t="s">
        <v>189</v>
      </c>
      <c r="D203" s="23" t="s">
        <v>1898</v>
      </c>
      <c r="E203" s="25">
        <v>45547.81220076536</v>
      </c>
      <c r="F203" s="23" t="s">
        <v>342</v>
      </c>
      <c r="G203" s="23" t="s">
        <v>2287</v>
      </c>
      <c r="H203" s="23" t="s">
        <v>1866</v>
      </c>
      <c r="I203" s="23">
        <v>2.0</v>
      </c>
      <c r="J203" s="23" t="s">
        <v>1900</v>
      </c>
    </row>
    <row r="204" ht="18.0" customHeight="1">
      <c r="A204" s="23" t="s">
        <v>2288</v>
      </c>
      <c r="B204" s="23" t="s">
        <v>372</v>
      </c>
      <c r="C204" s="23" t="s">
        <v>527</v>
      </c>
      <c r="D204" s="23" t="s">
        <v>1902</v>
      </c>
      <c r="E204" s="25">
        <v>46073.75629786262</v>
      </c>
      <c r="F204" s="23" t="s">
        <v>11</v>
      </c>
      <c r="G204" s="23" t="s">
        <v>2289</v>
      </c>
      <c r="H204" s="23" t="s">
        <v>1583</v>
      </c>
      <c r="I204" s="23">
        <v>2.0</v>
      </c>
      <c r="J204" s="23" t="s">
        <v>1904</v>
      </c>
    </row>
    <row r="205" ht="18.0" customHeight="1">
      <c r="A205" s="23" t="s">
        <v>2290</v>
      </c>
      <c r="B205" s="23" t="s">
        <v>372</v>
      </c>
      <c r="C205" s="23" t="s">
        <v>242</v>
      </c>
      <c r="D205" s="23" t="s">
        <v>1864</v>
      </c>
      <c r="E205" s="25">
        <v>45768.684795412</v>
      </c>
      <c r="F205" s="23" t="s">
        <v>1874</v>
      </c>
      <c r="G205" s="23" t="s">
        <v>2291</v>
      </c>
      <c r="H205" s="23" t="s">
        <v>1583</v>
      </c>
      <c r="I205" s="23">
        <v>1.0</v>
      </c>
      <c r="J205" s="23" t="s">
        <v>1867</v>
      </c>
    </row>
    <row r="206" ht="18.0" customHeight="1">
      <c r="A206" s="23" t="s">
        <v>2292</v>
      </c>
      <c r="B206" s="23" t="s">
        <v>378</v>
      </c>
      <c r="C206" s="23" t="s">
        <v>517</v>
      </c>
      <c r="D206" s="23" t="s">
        <v>1898</v>
      </c>
      <c r="E206" s="25">
        <v>46145.85466705635</v>
      </c>
      <c r="F206" s="23" t="s">
        <v>1874</v>
      </c>
      <c r="G206" s="23" t="s">
        <v>2293</v>
      </c>
      <c r="H206" s="23" t="s">
        <v>1909</v>
      </c>
      <c r="I206" s="23">
        <v>2.0</v>
      </c>
      <c r="J206" s="23" t="s">
        <v>1900</v>
      </c>
    </row>
    <row r="207" ht="18.0" customHeight="1">
      <c r="A207" s="23" t="s">
        <v>2294</v>
      </c>
      <c r="B207" s="23" t="s">
        <v>378</v>
      </c>
      <c r="C207" s="23" t="s">
        <v>184</v>
      </c>
      <c r="D207" s="23" t="s">
        <v>1902</v>
      </c>
      <c r="E207" s="25">
        <v>45566.89506012038</v>
      </c>
      <c r="F207" s="23" t="s">
        <v>404</v>
      </c>
      <c r="G207" s="23" t="s">
        <v>2295</v>
      </c>
      <c r="H207" s="23" t="s">
        <v>1583</v>
      </c>
      <c r="I207" s="23">
        <v>2.0</v>
      </c>
      <c r="J207" s="23" t="s">
        <v>1904</v>
      </c>
    </row>
    <row r="208" ht="18.0" customHeight="1">
      <c r="A208" s="23" t="s">
        <v>2296</v>
      </c>
      <c r="B208" s="23" t="s">
        <v>378</v>
      </c>
      <c r="C208" s="23" t="s">
        <v>257</v>
      </c>
      <c r="D208" s="23" t="s">
        <v>1864</v>
      </c>
      <c r="E208" s="25">
        <v>45602.93585263705</v>
      </c>
      <c r="F208" s="23" t="s">
        <v>342</v>
      </c>
      <c r="G208" s="23" t="s">
        <v>2297</v>
      </c>
      <c r="H208" s="23" t="s">
        <v>1583</v>
      </c>
      <c r="I208" s="23">
        <v>1.0</v>
      </c>
      <c r="J208" s="23" t="s">
        <v>1867</v>
      </c>
    </row>
    <row r="209" ht="18.0" customHeight="1">
      <c r="A209" s="23" t="s">
        <v>2298</v>
      </c>
      <c r="B209" s="23" t="s">
        <v>378</v>
      </c>
      <c r="C209" s="23" t="s">
        <v>147</v>
      </c>
      <c r="D209" s="23" t="s">
        <v>1869</v>
      </c>
      <c r="E209" s="25">
        <v>45307.13816907792</v>
      </c>
      <c r="F209" s="23" t="s">
        <v>11</v>
      </c>
      <c r="G209" s="23" t="s">
        <v>2299</v>
      </c>
      <c r="H209" s="23" t="s">
        <v>1892</v>
      </c>
      <c r="I209" s="23">
        <v>4.0</v>
      </c>
      <c r="J209" s="23" t="s">
        <v>1871</v>
      </c>
    </row>
    <row r="210" ht="18.0" customHeight="1">
      <c r="A210" s="23" t="s">
        <v>2300</v>
      </c>
      <c r="B210" s="23" t="s">
        <v>378</v>
      </c>
      <c r="C210" s="23" t="s">
        <v>356</v>
      </c>
      <c r="D210" s="23" t="s">
        <v>1873</v>
      </c>
      <c r="E210" s="25">
        <v>45482.021650205366</v>
      </c>
      <c r="F210" s="23" t="s">
        <v>1874</v>
      </c>
      <c r="G210" s="23" t="s">
        <v>2301</v>
      </c>
      <c r="H210" s="23" t="s">
        <v>1583</v>
      </c>
      <c r="I210" s="23">
        <v>3.0</v>
      </c>
      <c r="J210" s="23" t="s">
        <v>1876</v>
      </c>
    </row>
    <row r="211" ht="18.0" customHeight="1">
      <c r="A211" s="23" t="s">
        <v>2302</v>
      </c>
      <c r="B211" s="23" t="s">
        <v>378</v>
      </c>
      <c r="C211" s="23" t="s">
        <v>412</v>
      </c>
      <c r="D211" s="23" t="s">
        <v>1878</v>
      </c>
      <c r="E211" s="25">
        <v>45660.90176382777</v>
      </c>
      <c r="F211" s="23" t="s">
        <v>404</v>
      </c>
      <c r="G211" s="23" t="s">
        <v>2303</v>
      </c>
      <c r="H211" s="23" t="s">
        <v>1583</v>
      </c>
      <c r="I211" s="23">
        <v>3.0</v>
      </c>
      <c r="J211" s="23" t="s">
        <v>1881</v>
      </c>
    </row>
    <row r="212" ht="18.0" customHeight="1">
      <c r="A212" s="23" t="s">
        <v>2304</v>
      </c>
      <c r="B212" s="23" t="s">
        <v>387</v>
      </c>
      <c r="C212" s="23" t="s">
        <v>147</v>
      </c>
      <c r="D212" s="23" t="s">
        <v>1869</v>
      </c>
      <c r="E212" s="25">
        <v>45890.193547029514</v>
      </c>
      <c r="F212" s="23" t="s">
        <v>404</v>
      </c>
      <c r="G212" s="23" t="s">
        <v>2305</v>
      </c>
      <c r="H212" s="23" t="s">
        <v>1880</v>
      </c>
      <c r="I212" s="23">
        <v>4.0</v>
      </c>
      <c r="J212" s="23" t="s">
        <v>1871</v>
      </c>
    </row>
    <row r="213" ht="18.0" customHeight="1">
      <c r="A213" s="23" t="s">
        <v>2306</v>
      </c>
      <c r="B213" s="23" t="s">
        <v>387</v>
      </c>
      <c r="C213" s="23" t="s">
        <v>234</v>
      </c>
      <c r="D213" s="23" t="s">
        <v>1873</v>
      </c>
      <c r="E213" s="25">
        <v>45729.95633832435</v>
      </c>
      <c r="F213" s="23" t="s">
        <v>342</v>
      </c>
      <c r="G213" s="23" t="s">
        <v>2307</v>
      </c>
      <c r="H213" s="23" t="s">
        <v>1583</v>
      </c>
      <c r="I213" s="23">
        <v>3.0</v>
      </c>
      <c r="J213" s="23" t="s">
        <v>1876</v>
      </c>
    </row>
    <row r="214" ht="18.0" customHeight="1">
      <c r="A214" s="23" t="s">
        <v>2308</v>
      </c>
      <c r="B214" s="23" t="s">
        <v>387</v>
      </c>
      <c r="C214" s="23" t="s">
        <v>234</v>
      </c>
      <c r="D214" s="23" t="s">
        <v>1878</v>
      </c>
      <c r="E214" s="25">
        <v>45455.920837508515</v>
      </c>
      <c r="F214" s="23" t="s">
        <v>11</v>
      </c>
      <c r="G214" s="23" t="s">
        <v>2309</v>
      </c>
      <c r="H214" s="23" t="s">
        <v>1583</v>
      </c>
      <c r="I214" s="23">
        <v>3.0</v>
      </c>
      <c r="J214" s="23" t="s">
        <v>1881</v>
      </c>
    </row>
    <row r="215" ht="18.0" customHeight="1">
      <c r="A215" s="23" t="s">
        <v>2310</v>
      </c>
      <c r="B215" s="23" t="s">
        <v>387</v>
      </c>
      <c r="C215" s="23" t="s">
        <v>189</v>
      </c>
      <c r="D215" s="23" t="s">
        <v>1883</v>
      </c>
      <c r="E215" s="25">
        <v>46057.59502889612</v>
      </c>
      <c r="F215" s="23" t="s">
        <v>1874</v>
      </c>
      <c r="G215" s="23" t="s">
        <v>2311</v>
      </c>
      <c r="H215" s="23" t="s">
        <v>1909</v>
      </c>
      <c r="I215" s="23">
        <v>1.0</v>
      </c>
      <c r="J215" s="23" t="s">
        <v>1885</v>
      </c>
    </row>
    <row r="216" ht="18.0" customHeight="1">
      <c r="A216" s="23" t="s">
        <v>2312</v>
      </c>
      <c r="B216" s="23" t="s">
        <v>387</v>
      </c>
      <c r="C216" s="23" t="s">
        <v>507</v>
      </c>
      <c r="D216" s="23" t="s">
        <v>1887</v>
      </c>
      <c r="E216" s="25">
        <v>46041.52663231222</v>
      </c>
      <c r="F216" s="23" t="s">
        <v>404</v>
      </c>
      <c r="G216" s="23" t="s">
        <v>2313</v>
      </c>
      <c r="H216" s="23" t="s">
        <v>1583</v>
      </c>
      <c r="I216" s="23">
        <v>1.0</v>
      </c>
      <c r="J216" s="23" t="s">
        <v>1889</v>
      </c>
    </row>
    <row r="217" ht="18.0" customHeight="1">
      <c r="A217" s="23" t="s">
        <v>2314</v>
      </c>
      <c r="B217" s="23" t="s">
        <v>387</v>
      </c>
      <c r="C217" s="23" t="s">
        <v>496</v>
      </c>
      <c r="D217" s="23" t="s">
        <v>1898</v>
      </c>
      <c r="E217" s="25">
        <v>46029.42737454525</v>
      </c>
      <c r="F217" s="23" t="s">
        <v>342</v>
      </c>
      <c r="G217" s="23" t="s">
        <v>2315</v>
      </c>
      <c r="H217" s="23" t="s">
        <v>1583</v>
      </c>
      <c r="I217" s="23">
        <v>2.0</v>
      </c>
      <c r="J217" s="23" t="s">
        <v>1900</v>
      </c>
    </row>
    <row r="218" ht="18.0" customHeight="1">
      <c r="A218" s="23" t="s">
        <v>2316</v>
      </c>
      <c r="B218" s="23" t="s">
        <v>396</v>
      </c>
      <c r="C218" s="23" t="s">
        <v>545</v>
      </c>
      <c r="D218" s="23" t="s">
        <v>1883</v>
      </c>
      <c r="E218" s="25">
        <v>46033.35951022152</v>
      </c>
      <c r="F218" s="23" t="s">
        <v>342</v>
      </c>
      <c r="G218" s="23" t="s">
        <v>2317</v>
      </c>
      <c r="H218" s="23" t="s">
        <v>1866</v>
      </c>
      <c r="I218" s="23">
        <v>1.0</v>
      </c>
      <c r="J218" s="23" t="s">
        <v>1885</v>
      </c>
    </row>
    <row r="219" ht="18.0" customHeight="1">
      <c r="A219" s="23" t="s">
        <v>2318</v>
      </c>
      <c r="B219" s="23" t="s">
        <v>396</v>
      </c>
      <c r="C219" s="23" t="s">
        <v>489</v>
      </c>
      <c r="D219" s="23" t="s">
        <v>1887</v>
      </c>
      <c r="E219" s="25">
        <v>45496.75915207644</v>
      </c>
      <c r="F219" s="23" t="s">
        <v>11</v>
      </c>
      <c r="G219" s="23" t="s">
        <v>2319</v>
      </c>
      <c r="H219" s="23" t="s">
        <v>1583</v>
      </c>
      <c r="I219" s="23">
        <v>1.0</v>
      </c>
      <c r="J219" s="23" t="s">
        <v>1889</v>
      </c>
    </row>
    <row r="220" ht="18.0" customHeight="1">
      <c r="A220" s="23" t="s">
        <v>2320</v>
      </c>
      <c r="B220" s="23" t="s">
        <v>396</v>
      </c>
      <c r="C220" s="23" t="s">
        <v>507</v>
      </c>
      <c r="D220" s="23" t="s">
        <v>1898</v>
      </c>
      <c r="E220" s="25">
        <v>45987.64188200468</v>
      </c>
      <c r="F220" s="23" t="s">
        <v>1874</v>
      </c>
      <c r="G220" s="23" t="s">
        <v>2321</v>
      </c>
      <c r="H220" s="23" t="s">
        <v>1583</v>
      </c>
      <c r="I220" s="23">
        <v>2.0</v>
      </c>
      <c r="J220" s="23" t="s">
        <v>1900</v>
      </c>
    </row>
    <row r="221" ht="18.0" customHeight="1">
      <c r="A221" s="23" t="s">
        <v>2322</v>
      </c>
      <c r="B221" s="23" t="s">
        <v>396</v>
      </c>
      <c r="C221" s="23" t="s">
        <v>234</v>
      </c>
      <c r="D221" s="23" t="s">
        <v>1902</v>
      </c>
      <c r="E221" s="25">
        <v>45745.185117109446</v>
      </c>
      <c r="F221" s="23" t="s">
        <v>404</v>
      </c>
      <c r="G221" s="23" t="s">
        <v>2323</v>
      </c>
      <c r="H221" s="23" t="s">
        <v>1880</v>
      </c>
      <c r="I221" s="23">
        <v>2.0</v>
      </c>
      <c r="J221" s="23" t="s">
        <v>1904</v>
      </c>
    </row>
    <row r="222" ht="18.0" customHeight="1">
      <c r="A222" s="23" t="s">
        <v>2324</v>
      </c>
      <c r="B222" s="23" t="s">
        <v>396</v>
      </c>
      <c r="C222" s="23" t="s">
        <v>184</v>
      </c>
      <c r="D222" s="23" t="s">
        <v>1864</v>
      </c>
      <c r="E222" s="25">
        <v>46218.080393478274</v>
      </c>
      <c r="F222" s="23" t="s">
        <v>342</v>
      </c>
      <c r="G222" s="23" t="s">
        <v>2325</v>
      </c>
      <c r="H222" s="23" t="s">
        <v>1583</v>
      </c>
      <c r="I222" s="23">
        <v>1.0</v>
      </c>
      <c r="J222" s="23" t="s">
        <v>1867</v>
      </c>
    </row>
    <row r="223" ht="18.0" customHeight="1">
      <c r="A223" s="23" t="s">
        <v>2326</v>
      </c>
      <c r="B223" s="23" t="s">
        <v>396</v>
      </c>
      <c r="C223" s="23" t="s">
        <v>527</v>
      </c>
      <c r="D223" s="23" t="s">
        <v>1869</v>
      </c>
      <c r="E223" s="25">
        <v>46123.54589609266</v>
      </c>
      <c r="F223" s="23" t="s">
        <v>11</v>
      </c>
      <c r="G223" s="23" t="s">
        <v>2327</v>
      </c>
      <c r="H223" s="23" t="s">
        <v>1583</v>
      </c>
      <c r="I223" s="23">
        <v>4.0</v>
      </c>
      <c r="J223" s="23" t="s">
        <v>1871</v>
      </c>
    </row>
    <row r="224" ht="18.0" customHeight="1">
      <c r="A224" s="23" t="s">
        <v>2328</v>
      </c>
      <c r="B224" s="23" t="s">
        <v>405</v>
      </c>
      <c r="C224" s="23" t="s">
        <v>234</v>
      </c>
      <c r="D224" s="23" t="s">
        <v>1902</v>
      </c>
      <c r="E224" s="25">
        <v>45345.961390213575</v>
      </c>
      <c r="F224" s="23" t="s">
        <v>11</v>
      </c>
      <c r="G224" s="23" t="s">
        <v>2329</v>
      </c>
      <c r="H224" s="23" t="s">
        <v>1892</v>
      </c>
      <c r="I224" s="23">
        <v>2.0</v>
      </c>
      <c r="J224" s="23" t="s">
        <v>1904</v>
      </c>
    </row>
    <row r="225" ht="18.0" customHeight="1">
      <c r="A225" s="23" t="s">
        <v>2330</v>
      </c>
      <c r="B225" s="23" t="s">
        <v>405</v>
      </c>
      <c r="C225" s="23" t="s">
        <v>222</v>
      </c>
      <c r="D225" s="23" t="s">
        <v>1864</v>
      </c>
      <c r="E225" s="25">
        <v>45450.916875997325</v>
      </c>
      <c r="F225" s="23" t="s">
        <v>1874</v>
      </c>
      <c r="G225" s="23" t="s">
        <v>2331</v>
      </c>
      <c r="H225" s="23" t="s">
        <v>1583</v>
      </c>
      <c r="I225" s="23">
        <v>1.0</v>
      </c>
      <c r="J225" s="23" t="s">
        <v>1867</v>
      </c>
    </row>
    <row r="226" ht="18.0" customHeight="1">
      <c r="A226" s="23" t="s">
        <v>2332</v>
      </c>
      <c r="B226" s="23" t="s">
        <v>405</v>
      </c>
      <c r="C226" s="23" t="s">
        <v>331</v>
      </c>
      <c r="D226" s="23" t="s">
        <v>1869</v>
      </c>
      <c r="E226" s="25">
        <v>45364.928099161945</v>
      </c>
      <c r="F226" s="23" t="s">
        <v>404</v>
      </c>
      <c r="G226" s="23" t="s">
        <v>2333</v>
      </c>
      <c r="H226" s="23" t="s">
        <v>1583</v>
      </c>
      <c r="I226" s="23">
        <v>4.0</v>
      </c>
      <c r="J226" s="23" t="s">
        <v>1871</v>
      </c>
    </row>
    <row r="227" ht="18.0" customHeight="1">
      <c r="A227" s="23" t="s">
        <v>2334</v>
      </c>
      <c r="B227" s="23" t="s">
        <v>405</v>
      </c>
      <c r="C227" s="23" t="s">
        <v>43</v>
      </c>
      <c r="D227" s="23" t="s">
        <v>1873</v>
      </c>
      <c r="E227" s="25">
        <v>45299.36822743458</v>
      </c>
      <c r="F227" s="23" t="s">
        <v>342</v>
      </c>
      <c r="G227" s="23" t="s">
        <v>2335</v>
      </c>
      <c r="H227" s="23" t="s">
        <v>1866</v>
      </c>
      <c r="I227" s="23">
        <v>3.0</v>
      </c>
      <c r="J227" s="23" t="s">
        <v>1876</v>
      </c>
    </row>
    <row r="228" ht="18.0" customHeight="1">
      <c r="A228" s="23" t="s">
        <v>2336</v>
      </c>
      <c r="B228" s="23" t="s">
        <v>405</v>
      </c>
      <c r="C228" s="23" t="s">
        <v>175</v>
      </c>
      <c r="D228" s="23" t="s">
        <v>1878</v>
      </c>
      <c r="E228" s="25">
        <v>45608.758252785075</v>
      </c>
      <c r="F228" s="23" t="s">
        <v>11</v>
      </c>
      <c r="G228" s="23" t="s">
        <v>2337</v>
      </c>
      <c r="H228" s="23" t="s">
        <v>1583</v>
      </c>
      <c r="I228" s="23">
        <v>3.0</v>
      </c>
      <c r="J228" s="23" t="s">
        <v>1881</v>
      </c>
    </row>
    <row r="229" ht="18.0" customHeight="1">
      <c r="A229" s="23" t="s">
        <v>2338</v>
      </c>
      <c r="B229" s="23" t="s">
        <v>405</v>
      </c>
      <c r="C229" s="23" t="s">
        <v>496</v>
      </c>
      <c r="D229" s="23" t="s">
        <v>1883</v>
      </c>
      <c r="E229" s="25">
        <v>45362.923673500074</v>
      </c>
      <c r="F229" s="23" t="s">
        <v>1874</v>
      </c>
      <c r="G229" s="23" t="s">
        <v>2339</v>
      </c>
      <c r="H229" s="23" t="s">
        <v>1583</v>
      </c>
      <c r="I229" s="23">
        <v>1.0</v>
      </c>
      <c r="J229" s="23" t="s">
        <v>1885</v>
      </c>
    </row>
    <row r="230" ht="18.0" customHeight="1">
      <c r="A230" s="23" t="s">
        <v>2340</v>
      </c>
      <c r="B230" s="23" t="s">
        <v>413</v>
      </c>
      <c r="C230" s="23" t="s">
        <v>198</v>
      </c>
      <c r="D230" s="23" t="s">
        <v>1873</v>
      </c>
      <c r="E230" s="25">
        <v>45495.543889088556</v>
      </c>
      <c r="F230" s="23" t="s">
        <v>1874</v>
      </c>
      <c r="G230" s="23" t="s">
        <v>2341</v>
      </c>
      <c r="H230" s="23" t="s">
        <v>1909</v>
      </c>
      <c r="I230" s="23">
        <v>3.0</v>
      </c>
      <c r="J230" s="23" t="s">
        <v>1876</v>
      </c>
    </row>
    <row r="231" ht="18.0" customHeight="1">
      <c r="A231" s="23" t="s">
        <v>2342</v>
      </c>
      <c r="B231" s="23" t="s">
        <v>413</v>
      </c>
      <c r="C231" s="23" t="s">
        <v>376</v>
      </c>
      <c r="D231" s="23" t="s">
        <v>1878</v>
      </c>
      <c r="E231" s="25">
        <v>45347.013780713314</v>
      </c>
      <c r="F231" s="23" t="s">
        <v>404</v>
      </c>
      <c r="G231" s="23" t="s">
        <v>2343</v>
      </c>
      <c r="H231" s="23" t="s">
        <v>1583</v>
      </c>
      <c r="I231" s="23">
        <v>3.0</v>
      </c>
      <c r="J231" s="23" t="s">
        <v>1881</v>
      </c>
    </row>
    <row r="232" ht="18.0" customHeight="1">
      <c r="A232" s="23" t="s">
        <v>2344</v>
      </c>
      <c r="B232" s="23" t="s">
        <v>413</v>
      </c>
      <c r="C232" s="23" t="s">
        <v>189</v>
      </c>
      <c r="D232" s="23" t="s">
        <v>1883</v>
      </c>
      <c r="E232" s="25">
        <v>45942.531506269705</v>
      </c>
      <c r="F232" s="23" t="s">
        <v>342</v>
      </c>
      <c r="G232" s="23" t="s">
        <v>2345</v>
      </c>
      <c r="H232" s="23" t="s">
        <v>1583</v>
      </c>
      <c r="I232" s="23">
        <v>1.0</v>
      </c>
      <c r="J232" s="23" t="s">
        <v>1885</v>
      </c>
    </row>
    <row r="233" ht="18.0" customHeight="1">
      <c r="A233" s="23" t="s">
        <v>2346</v>
      </c>
      <c r="B233" s="23" t="s">
        <v>413</v>
      </c>
      <c r="C233" s="23" t="s">
        <v>283</v>
      </c>
      <c r="D233" s="23" t="s">
        <v>1887</v>
      </c>
      <c r="E233" s="25">
        <v>46196.829899981385</v>
      </c>
      <c r="F233" s="23" t="s">
        <v>11</v>
      </c>
      <c r="G233" s="23" t="s">
        <v>2347</v>
      </c>
      <c r="H233" s="23" t="s">
        <v>1892</v>
      </c>
      <c r="I233" s="23">
        <v>1.0</v>
      </c>
      <c r="J233" s="23" t="s">
        <v>1889</v>
      </c>
    </row>
    <row r="234" ht="18.0" customHeight="1">
      <c r="A234" s="23" t="s">
        <v>2348</v>
      </c>
      <c r="B234" s="23" t="s">
        <v>413</v>
      </c>
      <c r="C234" s="23" t="s">
        <v>356</v>
      </c>
      <c r="D234" s="23" t="s">
        <v>1898</v>
      </c>
      <c r="E234" s="25">
        <v>45483.82313350309</v>
      </c>
      <c r="F234" s="23" t="s">
        <v>1874</v>
      </c>
      <c r="G234" s="23" t="s">
        <v>2349</v>
      </c>
      <c r="H234" s="23" t="s">
        <v>1583</v>
      </c>
      <c r="I234" s="23">
        <v>2.0</v>
      </c>
      <c r="J234" s="23" t="s">
        <v>1900</v>
      </c>
    </row>
    <row r="235" ht="18.0" customHeight="1">
      <c r="A235" s="23" t="s">
        <v>2350</v>
      </c>
      <c r="B235" s="23" t="s">
        <v>413</v>
      </c>
      <c r="C235" s="23" t="s">
        <v>184</v>
      </c>
      <c r="D235" s="23" t="s">
        <v>1902</v>
      </c>
      <c r="E235" s="25">
        <v>45526.89992457931</v>
      </c>
      <c r="F235" s="23" t="s">
        <v>404</v>
      </c>
      <c r="G235" s="23" t="s">
        <v>2351</v>
      </c>
      <c r="H235" s="23" t="s">
        <v>1583</v>
      </c>
      <c r="I235" s="23">
        <v>2.0</v>
      </c>
      <c r="J235" s="23" t="s">
        <v>1904</v>
      </c>
    </row>
    <row r="236" ht="18.0" customHeight="1">
      <c r="A236" s="23" t="s">
        <v>2352</v>
      </c>
      <c r="B236" s="23" t="s">
        <v>422</v>
      </c>
      <c r="C236" s="23" t="s">
        <v>507</v>
      </c>
      <c r="D236" s="23" t="s">
        <v>1887</v>
      </c>
      <c r="E236" s="25">
        <v>45442.979699699674</v>
      </c>
      <c r="F236" s="23" t="s">
        <v>404</v>
      </c>
      <c r="G236" s="23" t="s">
        <v>2353</v>
      </c>
      <c r="H236" s="23" t="s">
        <v>1880</v>
      </c>
      <c r="I236" s="23">
        <v>1.0</v>
      </c>
      <c r="J236" s="23" t="s">
        <v>1889</v>
      </c>
    </row>
    <row r="237" ht="18.0" customHeight="1">
      <c r="A237" s="23" t="s">
        <v>2354</v>
      </c>
      <c r="B237" s="23" t="s">
        <v>422</v>
      </c>
      <c r="C237" s="23" t="s">
        <v>136</v>
      </c>
      <c r="D237" s="23" t="s">
        <v>1898</v>
      </c>
      <c r="E237" s="25">
        <v>45542.98925870168</v>
      </c>
      <c r="F237" s="23" t="s">
        <v>342</v>
      </c>
      <c r="G237" s="23" t="s">
        <v>2355</v>
      </c>
      <c r="H237" s="23" t="s">
        <v>1583</v>
      </c>
      <c r="I237" s="23">
        <v>2.0</v>
      </c>
      <c r="J237" s="23" t="s">
        <v>1900</v>
      </c>
    </row>
    <row r="238" ht="18.0" customHeight="1">
      <c r="A238" s="23" t="s">
        <v>2356</v>
      </c>
      <c r="B238" s="23" t="s">
        <v>422</v>
      </c>
      <c r="C238" s="23" t="s">
        <v>210</v>
      </c>
      <c r="D238" s="23" t="s">
        <v>1902</v>
      </c>
      <c r="E238" s="25">
        <v>46092.619839888066</v>
      </c>
      <c r="F238" s="23" t="s">
        <v>11</v>
      </c>
      <c r="G238" s="23" t="s">
        <v>2357</v>
      </c>
      <c r="H238" s="23" t="s">
        <v>1583</v>
      </c>
      <c r="I238" s="23">
        <v>2.0</v>
      </c>
      <c r="J238" s="23" t="s">
        <v>1904</v>
      </c>
    </row>
    <row r="239" ht="18.0" customHeight="1">
      <c r="A239" s="23" t="s">
        <v>2358</v>
      </c>
      <c r="B239" s="23" t="s">
        <v>422</v>
      </c>
      <c r="C239" s="23" t="s">
        <v>402</v>
      </c>
      <c r="D239" s="23" t="s">
        <v>1864</v>
      </c>
      <c r="E239" s="25">
        <v>45868.642304202775</v>
      </c>
      <c r="F239" s="23" t="s">
        <v>1874</v>
      </c>
      <c r="G239" s="23" t="s">
        <v>2359</v>
      </c>
      <c r="H239" s="23" t="s">
        <v>1909</v>
      </c>
      <c r="I239" s="23">
        <v>1.0</v>
      </c>
      <c r="J239" s="23" t="s">
        <v>1867</v>
      </c>
    </row>
    <row r="240" ht="18.0" customHeight="1">
      <c r="A240" s="23" t="s">
        <v>2360</v>
      </c>
      <c r="B240" s="23" t="s">
        <v>422</v>
      </c>
      <c r="C240" s="23" t="s">
        <v>122</v>
      </c>
      <c r="D240" s="23" t="s">
        <v>1869</v>
      </c>
      <c r="E240" s="25">
        <v>45360.18247417873</v>
      </c>
      <c r="F240" s="23" t="s">
        <v>404</v>
      </c>
      <c r="G240" s="23" t="s">
        <v>2361</v>
      </c>
      <c r="H240" s="23" t="s">
        <v>1583</v>
      </c>
      <c r="I240" s="23">
        <v>4.0</v>
      </c>
      <c r="J240" s="23" t="s">
        <v>1871</v>
      </c>
    </row>
    <row r="241" ht="18.0" customHeight="1">
      <c r="A241" s="23" t="s">
        <v>2362</v>
      </c>
      <c r="B241" s="23" t="s">
        <v>422</v>
      </c>
      <c r="C241" s="23" t="s">
        <v>234</v>
      </c>
      <c r="D241" s="23" t="s">
        <v>1873</v>
      </c>
      <c r="E241" s="25">
        <v>45529.38387470483</v>
      </c>
      <c r="F241" s="23" t="s">
        <v>342</v>
      </c>
      <c r="G241" s="23" t="s">
        <v>2363</v>
      </c>
      <c r="H241" s="23" t="s">
        <v>1583</v>
      </c>
      <c r="I241" s="23">
        <v>3.0</v>
      </c>
      <c r="J241" s="23" t="s">
        <v>1876</v>
      </c>
    </row>
    <row r="242" ht="18.0" customHeight="1">
      <c r="A242" s="23" t="s">
        <v>2364</v>
      </c>
      <c r="B242" s="23" t="s">
        <v>429</v>
      </c>
      <c r="C242" s="23" t="s">
        <v>489</v>
      </c>
      <c r="D242" s="23" t="s">
        <v>1864</v>
      </c>
      <c r="E242" s="25">
        <v>46031.432627084665</v>
      </c>
      <c r="F242" s="23" t="s">
        <v>342</v>
      </c>
      <c r="G242" s="23" t="s">
        <v>2365</v>
      </c>
      <c r="H242" s="23" t="s">
        <v>1866</v>
      </c>
      <c r="I242" s="23">
        <v>1.0</v>
      </c>
      <c r="J242" s="23" t="s">
        <v>1867</v>
      </c>
    </row>
    <row r="243" ht="18.0" customHeight="1">
      <c r="A243" s="23" t="s">
        <v>2366</v>
      </c>
      <c r="B243" s="23" t="s">
        <v>429</v>
      </c>
      <c r="C243" s="23" t="s">
        <v>163</v>
      </c>
      <c r="D243" s="23" t="s">
        <v>1869</v>
      </c>
      <c r="E243" s="25">
        <v>45316.358735316666</v>
      </c>
      <c r="F243" s="23" t="s">
        <v>11</v>
      </c>
      <c r="G243" s="23" t="s">
        <v>2367</v>
      </c>
      <c r="H243" s="23" t="s">
        <v>1583</v>
      </c>
      <c r="I243" s="23">
        <v>4.0</v>
      </c>
      <c r="J243" s="23" t="s">
        <v>1871</v>
      </c>
    </row>
    <row r="244" ht="18.0" customHeight="1">
      <c r="A244" s="23" t="s">
        <v>2368</v>
      </c>
      <c r="B244" s="23" t="s">
        <v>429</v>
      </c>
      <c r="C244" s="23" t="s">
        <v>242</v>
      </c>
      <c r="D244" s="23" t="s">
        <v>1873</v>
      </c>
      <c r="E244" s="25">
        <v>46003.84952528449</v>
      </c>
      <c r="F244" s="23" t="s">
        <v>1874</v>
      </c>
      <c r="G244" s="23" t="s">
        <v>2369</v>
      </c>
      <c r="H244" s="23" t="s">
        <v>1583</v>
      </c>
      <c r="I244" s="23">
        <v>3.0</v>
      </c>
      <c r="J244" s="23" t="s">
        <v>1876</v>
      </c>
    </row>
    <row r="245" ht="18.0" customHeight="1">
      <c r="A245" s="23" t="s">
        <v>2370</v>
      </c>
      <c r="B245" s="23" t="s">
        <v>429</v>
      </c>
      <c r="C245" s="23" t="s">
        <v>242</v>
      </c>
      <c r="D245" s="23" t="s">
        <v>1878</v>
      </c>
      <c r="E245" s="25">
        <v>45986.063442767365</v>
      </c>
      <c r="F245" s="23" t="s">
        <v>404</v>
      </c>
      <c r="G245" s="23" t="s">
        <v>2371</v>
      </c>
      <c r="H245" s="23" t="s">
        <v>1880</v>
      </c>
      <c r="I245" s="23">
        <v>3.0</v>
      </c>
      <c r="J245" s="23" t="s">
        <v>1881</v>
      </c>
    </row>
    <row r="246" ht="18.0" customHeight="1">
      <c r="A246" s="23" t="s">
        <v>2372</v>
      </c>
      <c r="B246" s="23" t="s">
        <v>429</v>
      </c>
      <c r="C246" s="23" t="s">
        <v>264</v>
      </c>
      <c r="D246" s="23" t="s">
        <v>1883</v>
      </c>
      <c r="E246" s="25">
        <v>45706.05651972629</v>
      </c>
      <c r="F246" s="23" t="s">
        <v>342</v>
      </c>
      <c r="G246" s="23" t="s">
        <v>2373</v>
      </c>
      <c r="H246" s="23" t="s">
        <v>1583</v>
      </c>
      <c r="I246" s="23">
        <v>1.0</v>
      </c>
      <c r="J246" s="23" t="s">
        <v>1885</v>
      </c>
    </row>
    <row r="247" ht="18.0" customHeight="1">
      <c r="A247" s="23" t="s">
        <v>2374</v>
      </c>
      <c r="B247" s="23" t="s">
        <v>429</v>
      </c>
      <c r="C247" s="23" t="s">
        <v>296</v>
      </c>
      <c r="D247" s="23" t="s">
        <v>1887</v>
      </c>
      <c r="E247" s="25">
        <v>45642.38032482215</v>
      </c>
      <c r="F247" s="23" t="s">
        <v>11</v>
      </c>
      <c r="G247" s="23" t="s">
        <v>2375</v>
      </c>
      <c r="H247" s="23" t="s">
        <v>1583</v>
      </c>
      <c r="I247" s="23">
        <v>1.0</v>
      </c>
      <c r="J247" s="23" t="s">
        <v>1889</v>
      </c>
    </row>
    <row r="248" ht="18.0" customHeight="1">
      <c r="A248" s="23" t="s">
        <v>2376</v>
      </c>
      <c r="B248" s="23" t="s">
        <v>436</v>
      </c>
      <c r="C248" s="23" t="s">
        <v>545</v>
      </c>
      <c r="D248" s="23" t="s">
        <v>1878</v>
      </c>
      <c r="E248" s="25">
        <v>45337.746323283296</v>
      </c>
      <c r="F248" s="23" t="s">
        <v>11</v>
      </c>
      <c r="G248" s="23" t="s">
        <v>2377</v>
      </c>
      <c r="H248" s="23" t="s">
        <v>1892</v>
      </c>
      <c r="I248" s="23">
        <v>3.0</v>
      </c>
      <c r="J248" s="23" t="s">
        <v>1881</v>
      </c>
    </row>
    <row r="249" ht="18.0" customHeight="1">
      <c r="A249" s="23" t="s">
        <v>2378</v>
      </c>
      <c r="B249" s="23" t="s">
        <v>436</v>
      </c>
      <c r="C249" s="23" t="s">
        <v>545</v>
      </c>
      <c r="D249" s="23" t="s">
        <v>1883</v>
      </c>
      <c r="E249" s="25">
        <v>45837.42128941021</v>
      </c>
      <c r="F249" s="23" t="s">
        <v>1874</v>
      </c>
      <c r="G249" s="23" t="s">
        <v>2379</v>
      </c>
      <c r="H249" s="23" t="s">
        <v>1583</v>
      </c>
      <c r="I249" s="23">
        <v>1.0</v>
      </c>
      <c r="J249" s="23" t="s">
        <v>1885</v>
      </c>
    </row>
    <row r="250" ht="18.0" customHeight="1">
      <c r="A250" s="23" t="s">
        <v>2380</v>
      </c>
      <c r="B250" s="23" t="s">
        <v>436</v>
      </c>
      <c r="C250" s="23" t="s">
        <v>281</v>
      </c>
      <c r="D250" s="23" t="s">
        <v>1887</v>
      </c>
      <c r="E250" s="25">
        <v>45788.43493798468</v>
      </c>
      <c r="F250" s="23" t="s">
        <v>404</v>
      </c>
      <c r="G250" s="23" t="s">
        <v>2381</v>
      </c>
      <c r="H250" s="23" t="s">
        <v>1583</v>
      </c>
      <c r="I250" s="23">
        <v>1.0</v>
      </c>
      <c r="J250" s="23" t="s">
        <v>1889</v>
      </c>
    </row>
    <row r="251" ht="18.0" customHeight="1">
      <c r="A251" s="23" t="s">
        <v>2382</v>
      </c>
      <c r="B251" s="23" t="s">
        <v>436</v>
      </c>
      <c r="C251" s="23" t="s">
        <v>80</v>
      </c>
      <c r="D251" s="23" t="s">
        <v>1898</v>
      </c>
      <c r="E251" s="25">
        <v>45910.29169295658</v>
      </c>
      <c r="F251" s="23" t="s">
        <v>342</v>
      </c>
      <c r="G251" s="23" t="s">
        <v>2383</v>
      </c>
      <c r="H251" s="23" t="s">
        <v>1866</v>
      </c>
      <c r="I251" s="23">
        <v>2.0</v>
      </c>
      <c r="J251" s="23" t="s">
        <v>1900</v>
      </c>
    </row>
    <row r="252" ht="18.0" customHeight="1">
      <c r="A252" s="23" t="s">
        <v>2384</v>
      </c>
      <c r="B252" s="23" t="s">
        <v>436</v>
      </c>
      <c r="C252" s="23" t="s">
        <v>242</v>
      </c>
      <c r="D252" s="23" t="s">
        <v>1902</v>
      </c>
      <c r="E252" s="25">
        <v>45594.65596615756</v>
      </c>
      <c r="F252" s="23" t="s">
        <v>11</v>
      </c>
      <c r="G252" s="23" t="s">
        <v>2385</v>
      </c>
      <c r="H252" s="23" t="s">
        <v>1583</v>
      </c>
      <c r="I252" s="23">
        <v>2.0</v>
      </c>
      <c r="J252" s="23" t="s">
        <v>1904</v>
      </c>
    </row>
    <row r="253" ht="18.0" customHeight="1">
      <c r="A253" s="23" t="s">
        <v>2386</v>
      </c>
      <c r="B253" s="23" t="s">
        <v>436</v>
      </c>
      <c r="C253" s="23" t="s">
        <v>281</v>
      </c>
      <c r="D253" s="23" t="s">
        <v>1864</v>
      </c>
      <c r="E253" s="25">
        <v>46007.854223972885</v>
      </c>
      <c r="F253" s="23" t="s">
        <v>1874</v>
      </c>
      <c r="G253" s="23" t="s">
        <v>2387</v>
      </c>
      <c r="H253" s="23" t="s">
        <v>1583</v>
      </c>
      <c r="I253" s="23">
        <v>1.0</v>
      </c>
      <c r="J253" s="23" t="s">
        <v>1867</v>
      </c>
    </row>
    <row r="254" ht="18.0" customHeight="1">
      <c r="A254" s="23" t="s">
        <v>2388</v>
      </c>
      <c r="B254" s="23" t="s">
        <v>444</v>
      </c>
      <c r="C254" s="23" t="s">
        <v>175</v>
      </c>
      <c r="D254" s="23" t="s">
        <v>1898</v>
      </c>
      <c r="E254" s="25">
        <v>45663.1962576285</v>
      </c>
      <c r="F254" s="23" t="s">
        <v>1874</v>
      </c>
      <c r="G254" s="23" t="s">
        <v>2389</v>
      </c>
      <c r="H254" s="23" t="s">
        <v>1909</v>
      </c>
      <c r="I254" s="23">
        <v>2.0</v>
      </c>
      <c r="J254" s="23" t="s">
        <v>1900</v>
      </c>
    </row>
    <row r="255" ht="18.0" customHeight="1">
      <c r="A255" s="23" t="s">
        <v>2390</v>
      </c>
      <c r="B255" s="23" t="s">
        <v>444</v>
      </c>
      <c r="C255" s="23" t="s">
        <v>271</v>
      </c>
      <c r="D255" s="23" t="s">
        <v>1902</v>
      </c>
      <c r="E255" s="25">
        <v>45959.47217202396</v>
      </c>
      <c r="F255" s="23" t="s">
        <v>404</v>
      </c>
      <c r="G255" s="23" t="s">
        <v>2391</v>
      </c>
      <c r="H255" s="23" t="s">
        <v>1583</v>
      </c>
      <c r="I255" s="23">
        <v>2.0</v>
      </c>
      <c r="J255" s="23" t="s">
        <v>1904</v>
      </c>
    </row>
    <row r="256" ht="18.0" customHeight="1">
      <c r="A256" s="23" t="s">
        <v>2392</v>
      </c>
      <c r="B256" s="23" t="s">
        <v>444</v>
      </c>
      <c r="C256" s="23" t="s">
        <v>175</v>
      </c>
      <c r="D256" s="23" t="s">
        <v>1864</v>
      </c>
      <c r="E256" s="25">
        <v>45629.48654044559</v>
      </c>
      <c r="F256" s="23" t="s">
        <v>342</v>
      </c>
      <c r="G256" s="23" t="s">
        <v>2393</v>
      </c>
      <c r="H256" s="23" t="s">
        <v>1583</v>
      </c>
      <c r="I256" s="23">
        <v>1.0</v>
      </c>
      <c r="J256" s="23" t="s">
        <v>1867</v>
      </c>
    </row>
    <row r="257" ht="18.0" customHeight="1">
      <c r="A257" s="23" t="s">
        <v>2394</v>
      </c>
      <c r="B257" s="23" t="s">
        <v>444</v>
      </c>
      <c r="C257" s="23" t="s">
        <v>234</v>
      </c>
      <c r="D257" s="23" t="s">
        <v>1869</v>
      </c>
      <c r="E257" s="25">
        <v>45420.60305375024</v>
      </c>
      <c r="F257" s="23" t="s">
        <v>11</v>
      </c>
      <c r="G257" s="23" t="s">
        <v>2395</v>
      </c>
      <c r="H257" s="23" t="s">
        <v>1892</v>
      </c>
      <c r="I257" s="23">
        <v>4.0</v>
      </c>
      <c r="J257" s="23" t="s">
        <v>1871</v>
      </c>
    </row>
    <row r="258" ht="18.0" customHeight="1">
      <c r="A258" s="23" t="s">
        <v>2396</v>
      </c>
      <c r="B258" s="23" t="s">
        <v>444</v>
      </c>
      <c r="C258" s="23" t="s">
        <v>527</v>
      </c>
      <c r="D258" s="23" t="s">
        <v>1873</v>
      </c>
      <c r="E258" s="25">
        <v>46089.609315394424</v>
      </c>
      <c r="F258" s="23" t="s">
        <v>1874</v>
      </c>
      <c r="G258" s="23" t="s">
        <v>2397</v>
      </c>
      <c r="H258" s="23" t="s">
        <v>1583</v>
      </c>
      <c r="I258" s="23">
        <v>3.0</v>
      </c>
      <c r="J258" s="23" t="s">
        <v>1876</v>
      </c>
    </row>
    <row r="259" ht="18.0" customHeight="1">
      <c r="A259" s="23" t="s">
        <v>2398</v>
      </c>
      <c r="B259" s="23" t="s">
        <v>444</v>
      </c>
      <c r="C259" s="23" t="s">
        <v>424</v>
      </c>
      <c r="D259" s="23" t="s">
        <v>1878</v>
      </c>
      <c r="E259" s="25">
        <v>45976.559856687905</v>
      </c>
      <c r="F259" s="23" t="s">
        <v>404</v>
      </c>
      <c r="G259" s="23" t="s">
        <v>2399</v>
      </c>
      <c r="H259" s="23" t="s">
        <v>1583</v>
      </c>
      <c r="I259" s="23">
        <v>3.0</v>
      </c>
      <c r="J259" s="23" t="s">
        <v>1881</v>
      </c>
    </row>
    <row r="260" ht="18.0" customHeight="1">
      <c r="A260" s="23" t="s">
        <v>2400</v>
      </c>
      <c r="B260" s="23" t="s">
        <v>452</v>
      </c>
      <c r="C260" s="23" t="s">
        <v>424</v>
      </c>
      <c r="D260" s="23" t="s">
        <v>1869</v>
      </c>
      <c r="E260" s="25">
        <v>45318.38336489396</v>
      </c>
      <c r="F260" s="23" t="s">
        <v>404</v>
      </c>
      <c r="G260" s="23" t="s">
        <v>2401</v>
      </c>
      <c r="H260" s="23" t="s">
        <v>1880</v>
      </c>
      <c r="I260" s="23">
        <v>4.0</v>
      </c>
      <c r="J260" s="23" t="s">
        <v>1871</v>
      </c>
    </row>
    <row r="261" ht="18.0" customHeight="1">
      <c r="A261" s="23" t="s">
        <v>2402</v>
      </c>
      <c r="B261" s="23" t="s">
        <v>452</v>
      </c>
      <c r="C261" s="23" t="s">
        <v>43</v>
      </c>
      <c r="D261" s="23" t="s">
        <v>1873</v>
      </c>
      <c r="E261" s="25">
        <v>46153.82063819165</v>
      </c>
      <c r="F261" s="23" t="s">
        <v>342</v>
      </c>
      <c r="G261" s="23" t="s">
        <v>2403</v>
      </c>
      <c r="H261" s="23" t="s">
        <v>1583</v>
      </c>
      <c r="I261" s="23">
        <v>3.0</v>
      </c>
      <c r="J261" s="23" t="s">
        <v>1876</v>
      </c>
    </row>
    <row r="262" ht="18.0" customHeight="1">
      <c r="A262" s="23" t="s">
        <v>2404</v>
      </c>
      <c r="B262" s="23" t="s">
        <v>452</v>
      </c>
      <c r="C262" s="23" t="s">
        <v>296</v>
      </c>
      <c r="D262" s="23" t="s">
        <v>1878</v>
      </c>
      <c r="E262" s="25">
        <v>45768.94223467074</v>
      </c>
      <c r="F262" s="23" t="s">
        <v>11</v>
      </c>
      <c r="G262" s="23" t="s">
        <v>2405</v>
      </c>
      <c r="H262" s="23" t="s">
        <v>1583</v>
      </c>
      <c r="I262" s="23">
        <v>3.0</v>
      </c>
      <c r="J262" s="23" t="s">
        <v>1881</v>
      </c>
    </row>
    <row r="263" ht="18.0" customHeight="1">
      <c r="A263" s="23" t="s">
        <v>2406</v>
      </c>
      <c r="B263" s="23" t="s">
        <v>452</v>
      </c>
      <c r="C263" s="23" t="s">
        <v>507</v>
      </c>
      <c r="D263" s="23" t="s">
        <v>1883</v>
      </c>
      <c r="E263" s="25">
        <v>45292.51038082712</v>
      </c>
      <c r="F263" s="23" t="s">
        <v>1874</v>
      </c>
      <c r="G263" s="23" t="s">
        <v>2407</v>
      </c>
      <c r="H263" s="23" t="s">
        <v>1909</v>
      </c>
      <c r="I263" s="23">
        <v>1.0</v>
      </c>
      <c r="J263" s="23" t="s">
        <v>1885</v>
      </c>
    </row>
    <row r="264" ht="18.0" customHeight="1">
      <c r="A264" s="23" t="s">
        <v>2408</v>
      </c>
      <c r="B264" s="23" t="s">
        <v>452</v>
      </c>
      <c r="C264" s="23" t="s">
        <v>311</v>
      </c>
      <c r="D264" s="23" t="s">
        <v>1887</v>
      </c>
      <c r="E264" s="25">
        <v>45792.95549192233</v>
      </c>
      <c r="F264" s="23" t="s">
        <v>404</v>
      </c>
      <c r="G264" s="23" t="s">
        <v>2409</v>
      </c>
      <c r="H264" s="23" t="s">
        <v>1583</v>
      </c>
      <c r="I264" s="23">
        <v>1.0</v>
      </c>
      <c r="J264" s="23" t="s">
        <v>1889</v>
      </c>
    </row>
    <row r="265" ht="18.0" customHeight="1">
      <c r="A265" s="23" t="s">
        <v>2410</v>
      </c>
      <c r="B265" s="23" t="s">
        <v>452</v>
      </c>
      <c r="C265" s="23" t="s">
        <v>489</v>
      </c>
      <c r="D265" s="23" t="s">
        <v>1898</v>
      </c>
      <c r="E265" s="25">
        <v>45841.16435716278</v>
      </c>
      <c r="F265" s="23" t="s">
        <v>342</v>
      </c>
      <c r="G265" s="23" t="s">
        <v>2411</v>
      </c>
      <c r="H265" s="23" t="s">
        <v>1583</v>
      </c>
      <c r="I265" s="23">
        <v>2.0</v>
      </c>
      <c r="J265" s="23" t="s">
        <v>1900</v>
      </c>
    </row>
    <row r="266" ht="18.0" customHeight="1">
      <c r="A266" s="23" t="s">
        <v>2412</v>
      </c>
      <c r="B266" s="23" t="s">
        <v>459</v>
      </c>
      <c r="C266" s="23" t="s">
        <v>163</v>
      </c>
      <c r="D266" s="23" t="s">
        <v>1883</v>
      </c>
      <c r="E266" s="25">
        <v>45940.458946493454</v>
      </c>
      <c r="F266" s="23" t="s">
        <v>342</v>
      </c>
      <c r="G266" s="23" t="s">
        <v>2413</v>
      </c>
      <c r="H266" s="23" t="s">
        <v>1866</v>
      </c>
      <c r="I266" s="23">
        <v>1.0</v>
      </c>
      <c r="J266" s="23" t="s">
        <v>1885</v>
      </c>
    </row>
    <row r="267" ht="18.0" customHeight="1">
      <c r="A267" s="23" t="s">
        <v>2414</v>
      </c>
      <c r="B267" s="23" t="s">
        <v>459</v>
      </c>
      <c r="C267" s="23" t="s">
        <v>177</v>
      </c>
      <c r="D267" s="23" t="s">
        <v>1887</v>
      </c>
      <c r="E267" s="25">
        <v>45612.17229595338</v>
      </c>
      <c r="F267" s="23" t="s">
        <v>11</v>
      </c>
      <c r="G267" s="23" t="s">
        <v>2415</v>
      </c>
      <c r="H267" s="23" t="s">
        <v>1583</v>
      </c>
      <c r="I267" s="23">
        <v>1.0</v>
      </c>
      <c r="J267" s="23" t="s">
        <v>1889</v>
      </c>
    </row>
    <row r="268" ht="18.0" customHeight="1">
      <c r="A268" s="23" t="s">
        <v>2416</v>
      </c>
      <c r="B268" s="23" t="s">
        <v>459</v>
      </c>
      <c r="C268" s="23" t="s">
        <v>331</v>
      </c>
      <c r="D268" s="23" t="s">
        <v>1898</v>
      </c>
      <c r="E268" s="25">
        <v>45300.9758419008</v>
      </c>
      <c r="F268" s="23" t="s">
        <v>1874</v>
      </c>
      <c r="G268" s="23" t="s">
        <v>2417</v>
      </c>
      <c r="H268" s="23" t="s">
        <v>1583</v>
      </c>
      <c r="I268" s="23">
        <v>2.0</v>
      </c>
      <c r="J268" s="23" t="s">
        <v>1900</v>
      </c>
    </row>
    <row r="269" ht="18.0" customHeight="1">
      <c r="A269" s="23" t="s">
        <v>2418</v>
      </c>
      <c r="B269" s="23" t="s">
        <v>459</v>
      </c>
      <c r="C269" s="23" t="s">
        <v>80</v>
      </c>
      <c r="D269" s="23" t="s">
        <v>1902</v>
      </c>
      <c r="E269" s="25">
        <v>45942.45986826974</v>
      </c>
      <c r="F269" s="23" t="s">
        <v>404</v>
      </c>
      <c r="G269" s="23" t="s">
        <v>2419</v>
      </c>
      <c r="H269" s="23" t="s">
        <v>1880</v>
      </c>
      <c r="I269" s="23">
        <v>2.0</v>
      </c>
      <c r="J269" s="23" t="s">
        <v>1904</v>
      </c>
    </row>
    <row r="270" ht="18.0" customHeight="1">
      <c r="A270" s="23" t="s">
        <v>2420</v>
      </c>
      <c r="B270" s="23" t="s">
        <v>459</v>
      </c>
      <c r="C270" s="23" t="s">
        <v>517</v>
      </c>
      <c r="D270" s="23" t="s">
        <v>1864</v>
      </c>
      <c r="E270" s="25">
        <v>45719.53778085485</v>
      </c>
      <c r="F270" s="23" t="s">
        <v>342</v>
      </c>
      <c r="G270" s="23" t="s">
        <v>2423</v>
      </c>
      <c r="H270" s="23" t="s">
        <v>1583</v>
      </c>
      <c r="I270" s="23">
        <v>1.0</v>
      </c>
      <c r="J270" s="23" t="s">
        <v>1867</v>
      </c>
    </row>
    <row r="271" ht="18.0" customHeight="1">
      <c r="A271" s="23" t="s">
        <v>2424</v>
      </c>
      <c r="B271" s="23" t="s">
        <v>459</v>
      </c>
      <c r="C271" s="23" t="s">
        <v>412</v>
      </c>
      <c r="D271" s="23" t="s">
        <v>1869</v>
      </c>
      <c r="E271" s="25">
        <v>45531.550926191965</v>
      </c>
      <c r="F271" s="23" t="s">
        <v>11</v>
      </c>
      <c r="G271" s="23" t="s">
        <v>2425</v>
      </c>
      <c r="H271" s="23" t="s">
        <v>1583</v>
      </c>
      <c r="I271" s="23">
        <v>4.0</v>
      </c>
      <c r="J271" s="23" t="s">
        <v>1871</v>
      </c>
    </row>
    <row r="272" ht="18.0" customHeight="1">
      <c r="A272" s="23" t="s">
        <v>2426</v>
      </c>
      <c r="B272" s="23" t="s">
        <v>467</v>
      </c>
      <c r="C272" s="23" t="s">
        <v>545</v>
      </c>
      <c r="D272" s="23" t="s">
        <v>1902</v>
      </c>
      <c r="E272" s="25">
        <v>45626.164345239755</v>
      </c>
      <c r="F272" s="23" t="s">
        <v>11</v>
      </c>
      <c r="G272" s="23" t="s">
        <v>2427</v>
      </c>
      <c r="H272" s="23" t="s">
        <v>1892</v>
      </c>
      <c r="I272" s="23">
        <v>2.0</v>
      </c>
      <c r="J272" s="23" t="s">
        <v>1904</v>
      </c>
    </row>
    <row r="273" ht="18.0" customHeight="1">
      <c r="A273" s="23" t="s">
        <v>2431</v>
      </c>
      <c r="B273" s="23" t="s">
        <v>467</v>
      </c>
      <c r="C273" s="23" t="s">
        <v>376</v>
      </c>
      <c r="D273" s="23" t="s">
        <v>1864</v>
      </c>
      <c r="E273" s="25">
        <v>46080.23302824586</v>
      </c>
      <c r="F273" s="23" t="s">
        <v>1874</v>
      </c>
      <c r="G273" s="23" t="s">
        <v>2432</v>
      </c>
      <c r="H273" s="23" t="s">
        <v>1583</v>
      </c>
      <c r="I273" s="23">
        <v>1.0</v>
      </c>
      <c r="J273" s="23" t="s">
        <v>1867</v>
      </c>
    </row>
    <row r="274" ht="18.0" customHeight="1">
      <c r="A274" s="23" t="s">
        <v>2434</v>
      </c>
      <c r="B274" s="23" t="s">
        <v>467</v>
      </c>
      <c r="C274" s="23" t="s">
        <v>184</v>
      </c>
      <c r="D274" s="23" t="s">
        <v>1869</v>
      </c>
      <c r="E274" s="25">
        <v>45546.64650332462</v>
      </c>
      <c r="F274" s="23" t="s">
        <v>404</v>
      </c>
      <c r="G274" s="23" t="s">
        <v>2437</v>
      </c>
      <c r="H274" s="23" t="s">
        <v>1583</v>
      </c>
      <c r="I274" s="23">
        <v>4.0</v>
      </c>
      <c r="J274" s="23" t="s">
        <v>1871</v>
      </c>
    </row>
    <row r="275" ht="18.0" customHeight="1">
      <c r="A275" s="23" t="s">
        <v>2439</v>
      </c>
      <c r="B275" s="23" t="s">
        <v>467</v>
      </c>
      <c r="C275" s="23" t="s">
        <v>376</v>
      </c>
      <c r="D275" s="23" t="s">
        <v>1873</v>
      </c>
      <c r="E275" s="25">
        <v>45973.18257482466</v>
      </c>
      <c r="F275" s="23" t="s">
        <v>342</v>
      </c>
      <c r="G275" s="23" t="s">
        <v>2442</v>
      </c>
      <c r="H275" s="23" t="s">
        <v>1866</v>
      </c>
      <c r="I275" s="23">
        <v>3.0</v>
      </c>
      <c r="J275" s="23" t="s">
        <v>1876</v>
      </c>
    </row>
    <row r="276" ht="18.0" customHeight="1">
      <c r="A276" s="23" t="s">
        <v>2444</v>
      </c>
      <c r="B276" s="23" t="s">
        <v>467</v>
      </c>
      <c r="C276" s="23" t="s">
        <v>281</v>
      </c>
      <c r="D276" s="23" t="s">
        <v>1878</v>
      </c>
      <c r="E276" s="25">
        <v>46094.91346729221</v>
      </c>
      <c r="F276" s="23" t="s">
        <v>11</v>
      </c>
      <c r="G276" s="23" t="s">
        <v>2447</v>
      </c>
      <c r="H276" s="23" t="s">
        <v>1583</v>
      </c>
      <c r="I276" s="23">
        <v>3.0</v>
      </c>
      <c r="J276" s="23" t="s">
        <v>1881</v>
      </c>
    </row>
    <row r="277" ht="18.0" customHeight="1">
      <c r="A277" s="23" t="s">
        <v>2448</v>
      </c>
      <c r="B277" s="23" t="s">
        <v>467</v>
      </c>
      <c r="C277" s="23" t="s">
        <v>402</v>
      </c>
      <c r="D277" s="23" t="s">
        <v>1883</v>
      </c>
      <c r="E277" s="25">
        <v>46065.15685340087</v>
      </c>
      <c r="F277" s="23" t="s">
        <v>1874</v>
      </c>
      <c r="G277" s="23" t="s">
        <v>2449</v>
      </c>
      <c r="H277" s="23" t="s">
        <v>1583</v>
      </c>
      <c r="I277" s="23">
        <v>1.0</v>
      </c>
      <c r="J277" s="23" t="s">
        <v>1885</v>
      </c>
    </row>
    <row r="278" ht="18.0" customHeight="1">
      <c r="A278" s="23" t="s">
        <v>2450</v>
      </c>
      <c r="B278" s="23" t="s">
        <v>475</v>
      </c>
      <c r="C278" s="23" t="s">
        <v>80</v>
      </c>
      <c r="D278" s="23" t="s">
        <v>1873</v>
      </c>
      <c r="E278" s="25">
        <v>45648.158171983436</v>
      </c>
      <c r="F278" s="23" t="s">
        <v>1874</v>
      </c>
      <c r="G278" s="23" t="s">
        <v>2451</v>
      </c>
      <c r="H278" s="23" t="s">
        <v>1909</v>
      </c>
      <c r="I278" s="23">
        <v>3.0</v>
      </c>
      <c r="J278" s="23" t="s">
        <v>1876</v>
      </c>
    </row>
    <row r="279" ht="18.0" customHeight="1">
      <c r="A279" s="23" t="s">
        <v>2452</v>
      </c>
      <c r="B279" s="23" t="s">
        <v>475</v>
      </c>
      <c r="C279" s="23" t="s">
        <v>136</v>
      </c>
      <c r="D279" s="23" t="s">
        <v>1878</v>
      </c>
      <c r="E279" s="25">
        <v>45482.29095739522</v>
      </c>
      <c r="F279" s="23" t="s">
        <v>404</v>
      </c>
      <c r="G279" s="23" t="s">
        <v>2453</v>
      </c>
      <c r="H279" s="23" t="s">
        <v>1583</v>
      </c>
      <c r="I279" s="23">
        <v>3.0</v>
      </c>
      <c r="J279" s="23" t="s">
        <v>1881</v>
      </c>
    </row>
    <row r="280" ht="18.0" customHeight="1">
      <c r="A280" s="23" t="s">
        <v>2454</v>
      </c>
      <c r="B280" s="23" t="s">
        <v>475</v>
      </c>
      <c r="C280" s="23" t="s">
        <v>320</v>
      </c>
      <c r="D280" s="23" t="s">
        <v>1883</v>
      </c>
      <c r="E280" s="25">
        <v>46130.06549106864</v>
      </c>
      <c r="F280" s="23" t="s">
        <v>342</v>
      </c>
      <c r="G280" s="23" t="s">
        <v>2455</v>
      </c>
      <c r="H280" s="23" t="s">
        <v>1583</v>
      </c>
      <c r="I280" s="23">
        <v>1.0</v>
      </c>
      <c r="J280" s="23" t="s">
        <v>1885</v>
      </c>
    </row>
    <row r="281" ht="18.0" customHeight="1">
      <c r="A281" s="23" t="s">
        <v>2456</v>
      </c>
      <c r="B281" s="23" t="s">
        <v>475</v>
      </c>
      <c r="C281" s="23" t="s">
        <v>112</v>
      </c>
      <c r="D281" s="23" t="s">
        <v>1887</v>
      </c>
      <c r="E281" s="25">
        <v>45821.71039413265</v>
      </c>
      <c r="F281" s="23" t="s">
        <v>11</v>
      </c>
      <c r="G281" s="23" t="s">
        <v>2457</v>
      </c>
      <c r="H281" s="23" t="s">
        <v>1892</v>
      </c>
      <c r="I281" s="23">
        <v>1.0</v>
      </c>
      <c r="J281" s="23" t="s">
        <v>1889</v>
      </c>
    </row>
    <row r="282" ht="18.0" customHeight="1">
      <c r="A282" s="23" t="s">
        <v>2458</v>
      </c>
      <c r="B282" s="23" t="s">
        <v>475</v>
      </c>
      <c r="C282" s="23" t="s">
        <v>545</v>
      </c>
      <c r="D282" s="23" t="s">
        <v>1898</v>
      </c>
      <c r="E282" s="25">
        <v>46192.24218966905</v>
      </c>
      <c r="F282" s="23" t="s">
        <v>1874</v>
      </c>
      <c r="G282" s="23" t="s">
        <v>2459</v>
      </c>
      <c r="H282" s="23" t="s">
        <v>1583</v>
      </c>
      <c r="I282" s="23">
        <v>2.0</v>
      </c>
      <c r="J282" s="23" t="s">
        <v>1900</v>
      </c>
    </row>
    <row r="283" ht="18.0" customHeight="1">
      <c r="A283" s="23" t="s">
        <v>2460</v>
      </c>
      <c r="B283" s="23" t="s">
        <v>475</v>
      </c>
      <c r="C283" s="23" t="s">
        <v>402</v>
      </c>
      <c r="D283" s="23" t="s">
        <v>1902</v>
      </c>
      <c r="E283" s="25">
        <v>45482.647736377316</v>
      </c>
      <c r="F283" s="23" t="s">
        <v>404</v>
      </c>
      <c r="G283" s="23" t="s">
        <v>2461</v>
      </c>
      <c r="H283" s="23" t="s">
        <v>1583</v>
      </c>
      <c r="I283" s="23">
        <v>2.0</v>
      </c>
      <c r="J283" s="23" t="s">
        <v>1904</v>
      </c>
    </row>
    <row r="284" ht="18.0" customHeight="1">
      <c r="A284" s="23" t="s">
        <v>2462</v>
      </c>
      <c r="B284" s="23" t="s">
        <v>485</v>
      </c>
      <c r="C284" s="23" t="s">
        <v>257</v>
      </c>
      <c r="D284" s="23" t="s">
        <v>1887</v>
      </c>
      <c r="E284" s="25">
        <v>45949.100932764355</v>
      </c>
      <c r="F284" s="23" t="s">
        <v>404</v>
      </c>
      <c r="G284" s="23" t="s">
        <v>2463</v>
      </c>
      <c r="H284" s="23" t="s">
        <v>1880</v>
      </c>
      <c r="I284" s="23">
        <v>1.0</v>
      </c>
      <c r="J284" s="23" t="s">
        <v>1889</v>
      </c>
    </row>
    <row r="285" ht="18.0" customHeight="1">
      <c r="A285" s="23" t="s">
        <v>2464</v>
      </c>
      <c r="B285" s="23" t="s">
        <v>485</v>
      </c>
      <c r="C285" s="23" t="s">
        <v>80</v>
      </c>
      <c r="D285" s="23" t="s">
        <v>1898</v>
      </c>
      <c r="E285" s="25">
        <v>45769.596398501424</v>
      </c>
      <c r="F285" s="23" t="s">
        <v>342</v>
      </c>
      <c r="G285" s="23" t="s">
        <v>2465</v>
      </c>
      <c r="H285" s="23" t="s">
        <v>1583</v>
      </c>
      <c r="I285" s="23">
        <v>2.0</v>
      </c>
      <c r="J285" s="23" t="s">
        <v>1900</v>
      </c>
    </row>
    <row r="286" ht="18.0" customHeight="1">
      <c r="A286" s="23" t="s">
        <v>2466</v>
      </c>
      <c r="B286" s="23" t="s">
        <v>485</v>
      </c>
      <c r="C286" s="23" t="s">
        <v>257</v>
      </c>
      <c r="D286" s="23" t="s">
        <v>1902</v>
      </c>
      <c r="E286" s="25">
        <v>45794.31492653489</v>
      </c>
      <c r="F286" s="23" t="s">
        <v>11</v>
      </c>
      <c r="G286" s="23" t="s">
        <v>2467</v>
      </c>
      <c r="H286" s="23" t="s">
        <v>1583</v>
      </c>
      <c r="I286" s="23">
        <v>2.0</v>
      </c>
      <c r="J286" s="23" t="s">
        <v>1904</v>
      </c>
    </row>
    <row r="287" ht="18.0" customHeight="1">
      <c r="A287" s="23" t="s">
        <v>2468</v>
      </c>
      <c r="B287" s="23" t="s">
        <v>485</v>
      </c>
      <c r="C287" s="23" t="s">
        <v>296</v>
      </c>
      <c r="D287" s="23" t="s">
        <v>1864</v>
      </c>
      <c r="E287" s="25">
        <v>45824.30903240503</v>
      </c>
      <c r="F287" s="23" t="s">
        <v>1874</v>
      </c>
      <c r="G287" s="23" t="s">
        <v>2469</v>
      </c>
      <c r="H287" s="23" t="s">
        <v>1909</v>
      </c>
      <c r="I287" s="23">
        <v>1.0</v>
      </c>
      <c r="J287" s="23" t="s">
        <v>1867</v>
      </c>
    </row>
    <row r="288" ht="18.0" customHeight="1">
      <c r="A288" s="23" t="s">
        <v>2470</v>
      </c>
      <c r="B288" s="23" t="s">
        <v>485</v>
      </c>
      <c r="C288" s="23" t="s">
        <v>376</v>
      </c>
      <c r="D288" s="23" t="s">
        <v>1869</v>
      </c>
      <c r="E288" s="25">
        <v>45422.3474650993</v>
      </c>
      <c r="F288" s="23" t="s">
        <v>404</v>
      </c>
      <c r="G288" s="23" t="s">
        <v>2471</v>
      </c>
      <c r="H288" s="23" t="s">
        <v>1583</v>
      </c>
      <c r="I288" s="23">
        <v>4.0</v>
      </c>
      <c r="J288" s="23" t="s">
        <v>1871</v>
      </c>
    </row>
    <row r="289" ht="18.0" customHeight="1">
      <c r="A289" s="23" t="s">
        <v>2472</v>
      </c>
      <c r="B289" s="23" t="s">
        <v>485</v>
      </c>
      <c r="C289" s="23" t="s">
        <v>177</v>
      </c>
      <c r="D289" s="23" t="s">
        <v>1873</v>
      </c>
      <c r="E289" s="25">
        <v>45767.71463986649</v>
      </c>
      <c r="F289" s="23" t="s">
        <v>342</v>
      </c>
      <c r="G289" s="23" t="s">
        <v>2473</v>
      </c>
      <c r="H289" s="23" t="s">
        <v>1583</v>
      </c>
      <c r="I289" s="23">
        <v>3.0</v>
      </c>
      <c r="J289" s="23" t="s">
        <v>1876</v>
      </c>
    </row>
    <row r="290" ht="18.0" customHeight="1">
      <c r="A290" s="23" t="s">
        <v>2474</v>
      </c>
      <c r="B290" s="23" t="s">
        <v>491</v>
      </c>
      <c r="C290" s="23" t="s">
        <v>136</v>
      </c>
      <c r="D290" s="23" t="s">
        <v>1864</v>
      </c>
      <c r="E290" s="25">
        <v>45523.78428792115</v>
      </c>
      <c r="F290" s="23" t="s">
        <v>342</v>
      </c>
      <c r="G290" s="23" t="s">
        <v>2475</v>
      </c>
      <c r="H290" s="23" t="s">
        <v>1866</v>
      </c>
      <c r="I290" s="23">
        <v>1.0</v>
      </c>
      <c r="J290" s="23" t="s">
        <v>1867</v>
      </c>
    </row>
    <row r="291" ht="18.0" customHeight="1">
      <c r="A291" s="23" t="s">
        <v>2476</v>
      </c>
      <c r="B291" s="23" t="s">
        <v>491</v>
      </c>
      <c r="C291" s="23" t="s">
        <v>122</v>
      </c>
      <c r="D291" s="23" t="s">
        <v>1869</v>
      </c>
      <c r="E291" s="25">
        <v>45624.649787065806</v>
      </c>
      <c r="F291" s="23" t="s">
        <v>11</v>
      </c>
      <c r="G291" s="23" t="s">
        <v>2477</v>
      </c>
      <c r="H291" s="23" t="s">
        <v>1583</v>
      </c>
      <c r="I291" s="23">
        <v>4.0</v>
      </c>
      <c r="J291" s="23" t="s">
        <v>1871</v>
      </c>
    </row>
    <row r="292" ht="18.0" customHeight="1">
      <c r="A292" s="23" t="s">
        <v>2478</v>
      </c>
      <c r="B292" s="23" t="s">
        <v>491</v>
      </c>
      <c r="C292" s="23" t="s">
        <v>177</v>
      </c>
      <c r="D292" s="23" t="s">
        <v>1873</v>
      </c>
      <c r="E292" s="25">
        <v>46052.06872347044</v>
      </c>
      <c r="F292" s="23" t="s">
        <v>1874</v>
      </c>
      <c r="G292" s="23" t="s">
        <v>2479</v>
      </c>
      <c r="H292" s="23" t="s">
        <v>1583</v>
      </c>
      <c r="I292" s="23">
        <v>3.0</v>
      </c>
      <c r="J292" s="23" t="s">
        <v>1876</v>
      </c>
    </row>
    <row r="293" ht="18.0" customHeight="1">
      <c r="A293" s="23" t="s">
        <v>2480</v>
      </c>
      <c r="B293" s="23" t="s">
        <v>491</v>
      </c>
      <c r="C293" s="23" t="s">
        <v>80</v>
      </c>
      <c r="D293" s="23" t="s">
        <v>1878</v>
      </c>
      <c r="E293" s="25">
        <v>45648.73778358544</v>
      </c>
      <c r="F293" s="23" t="s">
        <v>404</v>
      </c>
      <c r="G293" s="23" t="s">
        <v>2481</v>
      </c>
      <c r="H293" s="23" t="s">
        <v>1880</v>
      </c>
      <c r="I293" s="23">
        <v>3.0</v>
      </c>
      <c r="J293" s="23" t="s">
        <v>1881</v>
      </c>
    </row>
    <row r="294" ht="18.0" customHeight="1">
      <c r="A294" s="23" t="s">
        <v>2482</v>
      </c>
      <c r="B294" s="23" t="s">
        <v>491</v>
      </c>
      <c r="C294" s="23" t="s">
        <v>545</v>
      </c>
      <c r="D294" s="23" t="s">
        <v>1883</v>
      </c>
      <c r="E294" s="25">
        <v>45304.07260253839</v>
      </c>
      <c r="F294" s="23" t="s">
        <v>342</v>
      </c>
      <c r="G294" s="23" t="s">
        <v>2483</v>
      </c>
      <c r="H294" s="23" t="s">
        <v>1583</v>
      </c>
      <c r="I294" s="23">
        <v>1.0</v>
      </c>
      <c r="J294" s="23" t="s">
        <v>1885</v>
      </c>
    </row>
    <row r="295" ht="18.0" customHeight="1">
      <c r="A295" s="23" t="s">
        <v>2484</v>
      </c>
      <c r="B295" s="23" t="s">
        <v>491</v>
      </c>
      <c r="C295" s="23" t="s">
        <v>283</v>
      </c>
      <c r="D295" s="23" t="s">
        <v>1887</v>
      </c>
      <c r="E295" s="25">
        <v>45982.367852255935</v>
      </c>
      <c r="F295" s="23" t="s">
        <v>11</v>
      </c>
      <c r="G295" s="23" t="s">
        <v>2485</v>
      </c>
      <c r="H295" s="23" t="s">
        <v>1583</v>
      </c>
      <c r="I295" s="23">
        <v>1.0</v>
      </c>
      <c r="J295" s="23" t="s">
        <v>1889</v>
      </c>
    </row>
    <row r="296" ht="18.0" customHeight="1">
      <c r="A296" s="23" t="s">
        <v>2486</v>
      </c>
      <c r="B296" s="23" t="s">
        <v>499</v>
      </c>
      <c r="C296" s="23" t="s">
        <v>283</v>
      </c>
      <c r="D296" s="23" t="s">
        <v>1878</v>
      </c>
      <c r="E296" s="25">
        <v>45391.54236991657</v>
      </c>
      <c r="F296" s="23" t="s">
        <v>11</v>
      </c>
      <c r="G296" s="23" t="s">
        <v>2487</v>
      </c>
      <c r="H296" s="23" t="s">
        <v>1892</v>
      </c>
      <c r="I296" s="23">
        <v>3.0</v>
      </c>
      <c r="J296" s="23" t="s">
        <v>1881</v>
      </c>
    </row>
    <row r="297" ht="18.0" customHeight="1">
      <c r="A297" s="23" t="s">
        <v>2488</v>
      </c>
      <c r="B297" s="23" t="s">
        <v>499</v>
      </c>
      <c r="C297" s="23" t="s">
        <v>296</v>
      </c>
      <c r="D297" s="23" t="s">
        <v>1883</v>
      </c>
      <c r="E297" s="25">
        <v>45921.586667775875</v>
      </c>
      <c r="F297" s="23" t="s">
        <v>1874</v>
      </c>
      <c r="G297" s="23" t="s">
        <v>2489</v>
      </c>
      <c r="H297" s="23" t="s">
        <v>1583</v>
      </c>
      <c r="I297" s="23">
        <v>1.0</v>
      </c>
      <c r="J297" s="23" t="s">
        <v>1885</v>
      </c>
    </row>
    <row r="298" ht="18.0" customHeight="1">
      <c r="A298" s="23" t="s">
        <v>2490</v>
      </c>
      <c r="B298" s="23" t="s">
        <v>499</v>
      </c>
      <c r="C298" s="23" t="s">
        <v>496</v>
      </c>
      <c r="D298" s="23" t="s">
        <v>1887</v>
      </c>
      <c r="E298" s="25">
        <v>45905.15220596362</v>
      </c>
      <c r="F298" s="23" t="s">
        <v>404</v>
      </c>
      <c r="G298" s="23" t="s">
        <v>2491</v>
      </c>
      <c r="H298" s="23" t="s">
        <v>1583</v>
      </c>
      <c r="I298" s="23">
        <v>1.0</v>
      </c>
      <c r="J298" s="23" t="s">
        <v>1889</v>
      </c>
    </row>
    <row r="299" ht="18.0" customHeight="1">
      <c r="A299" s="23" t="s">
        <v>2492</v>
      </c>
      <c r="B299" s="23" t="s">
        <v>499</v>
      </c>
      <c r="C299" s="23" t="s">
        <v>517</v>
      </c>
      <c r="D299" s="23" t="s">
        <v>1898</v>
      </c>
      <c r="E299" s="25">
        <v>45873.37968109851</v>
      </c>
      <c r="F299" s="23" t="s">
        <v>342</v>
      </c>
      <c r="G299" s="23" t="s">
        <v>2493</v>
      </c>
      <c r="H299" s="23" t="s">
        <v>1866</v>
      </c>
      <c r="I299" s="23">
        <v>2.0</v>
      </c>
      <c r="J299" s="23" t="s">
        <v>1900</v>
      </c>
    </row>
    <row r="300" ht="18.0" customHeight="1">
      <c r="A300" s="23" t="s">
        <v>2494</v>
      </c>
      <c r="B300" s="23" t="s">
        <v>499</v>
      </c>
      <c r="C300" s="23" t="s">
        <v>184</v>
      </c>
      <c r="D300" s="23" t="s">
        <v>1902</v>
      </c>
      <c r="E300" s="25">
        <v>46053.48678989569</v>
      </c>
      <c r="F300" s="23" t="s">
        <v>11</v>
      </c>
      <c r="G300" s="23" t="s">
        <v>2495</v>
      </c>
      <c r="H300" s="23" t="s">
        <v>1583</v>
      </c>
      <c r="I300" s="23">
        <v>2.0</v>
      </c>
      <c r="J300" s="23" t="s">
        <v>1904</v>
      </c>
    </row>
    <row r="301" ht="18.0" customHeight="1">
      <c r="A301" s="23" t="s">
        <v>2496</v>
      </c>
      <c r="B301" s="23" t="s">
        <v>499</v>
      </c>
      <c r="C301" s="23" t="s">
        <v>496</v>
      </c>
      <c r="D301" s="23" t="s">
        <v>1864</v>
      </c>
      <c r="E301" s="25">
        <v>45606.35187313962</v>
      </c>
      <c r="F301" s="23" t="s">
        <v>1874</v>
      </c>
      <c r="G301" s="23" t="s">
        <v>2497</v>
      </c>
      <c r="H301" s="23" t="s">
        <v>1583</v>
      </c>
      <c r="I301" s="23">
        <v>1.0</v>
      </c>
      <c r="J301" s="23" t="s">
        <v>1867</v>
      </c>
    </row>
    <row r="302" ht="18.0" customHeight="1">
      <c r="A302" s="23" t="s">
        <v>2498</v>
      </c>
      <c r="B302" s="23" t="s">
        <v>505</v>
      </c>
      <c r="C302" s="23" t="s">
        <v>281</v>
      </c>
      <c r="D302" s="23" t="s">
        <v>1898</v>
      </c>
      <c r="E302" s="25">
        <v>45735.078094448894</v>
      </c>
      <c r="F302" s="23" t="s">
        <v>1874</v>
      </c>
      <c r="G302" s="23" t="s">
        <v>2499</v>
      </c>
      <c r="H302" s="23" t="s">
        <v>1909</v>
      </c>
      <c r="I302" s="23">
        <v>2.0</v>
      </c>
      <c r="J302" s="23" t="s">
        <v>1900</v>
      </c>
    </row>
    <row r="303" ht="18.0" customHeight="1">
      <c r="A303" s="23" t="s">
        <v>2500</v>
      </c>
      <c r="B303" s="23" t="s">
        <v>505</v>
      </c>
      <c r="C303" s="23" t="s">
        <v>496</v>
      </c>
      <c r="D303" s="23" t="s">
        <v>1902</v>
      </c>
      <c r="E303" s="25">
        <v>45939.77949542389</v>
      </c>
      <c r="F303" s="23" t="s">
        <v>404</v>
      </c>
      <c r="G303" s="23" t="s">
        <v>2501</v>
      </c>
      <c r="H303" s="23" t="s">
        <v>1583</v>
      </c>
      <c r="I303" s="23">
        <v>2.0</v>
      </c>
      <c r="J303" s="23" t="s">
        <v>1904</v>
      </c>
    </row>
    <row r="304" ht="18.0" customHeight="1">
      <c r="A304" s="23" t="s">
        <v>2502</v>
      </c>
      <c r="B304" s="23" t="s">
        <v>505</v>
      </c>
      <c r="C304" s="23" t="s">
        <v>234</v>
      </c>
      <c r="D304" s="23" t="s">
        <v>1864</v>
      </c>
      <c r="E304" s="25">
        <v>45862.44579687482</v>
      </c>
      <c r="F304" s="23" t="s">
        <v>342</v>
      </c>
      <c r="G304" s="23" t="s">
        <v>2503</v>
      </c>
      <c r="H304" s="23" t="s">
        <v>1583</v>
      </c>
      <c r="I304" s="23">
        <v>1.0</v>
      </c>
      <c r="J304" s="23" t="s">
        <v>1867</v>
      </c>
    </row>
    <row r="305" ht="18.0" customHeight="1">
      <c r="A305" s="23" t="s">
        <v>2504</v>
      </c>
      <c r="B305" s="23" t="s">
        <v>505</v>
      </c>
      <c r="C305" s="23" t="s">
        <v>147</v>
      </c>
      <c r="D305" s="23" t="s">
        <v>1869</v>
      </c>
      <c r="E305" s="25">
        <v>45562.45845684945</v>
      </c>
      <c r="F305" s="23" t="s">
        <v>11</v>
      </c>
      <c r="G305" s="23" t="s">
        <v>2505</v>
      </c>
      <c r="H305" s="23" t="s">
        <v>1892</v>
      </c>
      <c r="I305" s="23">
        <v>4.0</v>
      </c>
      <c r="J305" s="23" t="s">
        <v>1871</v>
      </c>
    </row>
    <row r="306" ht="18.0" customHeight="1">
      <c r="A306" s="23" t="s">
        <v>2506</v>
      </c>
      <c r="B306" s="23" t="s">
        <v>505</v>
      </c>
      <c r="C306" s="23" t="s">
        <v>241</v>
      </c>
      <c r="D306" s="23" t="s">
        <v>1873</v>
      </c>
      <c r="E306" s="25">
        <v>46103.25202404242</v>
      </c>
      <c r="F306" s="23" t="s">
        <v>1874</v>
      </c>
      <c r="G306" s="23" t="s">
        <v>2507</v>
      </c>
      <c r="H306" s="23" t="s">
        <v>1583</v>
      </c>
      <c r="I306" s="23">
        <v>3.0</v>
      </c>
      <c r="J306" s="23" t="s">
        <v>1876</v>
      </c>
    </row>
    <row r="307" ht="18.0" customHeight="1">
      <c r="A307" s="23" t="s">
        <v>2508</v>
      </c>
      <c r="B307" s="23" t="s">
        <v>505</v>
      </c>
      <c r="C307" s="23" t="s">
        <v>311</v>
      </c>
      <c r="D307" s="23" t="s">
        <v>1878</v>
      </c>
      <c r="E307" s="25">
        <v>45419.2838048127</v>
      </c>
      <c r="F307" s="23" t="s">
        <v>404</v>
      </c>
      <c r="G307" s="23" t="s">
        <v>2509</v>
      </c>
      <c r="H307" s="23" t="s">
        <v>1583</v>
      </c>
      <c r="I307" s="23">
        <v>3.0</v>
      </c>
      <c r="J307" s="23" t="s">
        <v>1881</v>
      </c>
    </row>
    <row r="308" ht="18.0" customHeight="1">
      <c r="A308" s="23" t="s">
        <v>2510</v>
      </c>
      <c r="B308" s="23" t="s">
        <v>512</v>
      </c>
      <c r="C308" s="23" t="s">
        <v>545</v>
      </c>
      <c r="D308" s="23" t="s">
        <v>1869</v>
      </c>
      <c r="E308" s="25">
        <v>45701.99071973236</v>
      </c>
      <c r="F308" s="23" t="s">
        <v>404</v>
      </c>
      <c r="G308" s="23" t="s">
        <v>2511</v>
      </c>
      <c r="H308" s="23" t="s">
        <v>1880</v>
      </c>
      <c r="I308" s="23">
        <v>4.0</v>
      </c>
      <c r="J308" s="23" t="s">
        <v>1871</v>
      </c>
    </row>
    <row r="309" ht="18.0" customHeight="1">
      <c r="A309" s="23" t="s">
        <v>2512</v>
      </c>
      <c r="B309" s="23" t="s">
        <v>512</v>
      </c>
      <c r="C309" s="23" t="s">
        <v>489</v>
      </c>
      <c r="D309" s="23" t="s">
        <v>1873</v>
      </c>
      <c r="E309" s="25">
        <v>45434.1207254983</v>
      </c>
      <c r="F309" s="23" t="s">
        <v>342</v>
      </c>
      <c r="G309" s="23" t="s">
        <v>2513</v>
      </c>
      <c r="H309" s="23" t="s">
        <v>1583</v>
      </c>
      <c r="I309" s="23">
        <v>3.0</v>
      </c>
      <c r="J309" s="23" t="s">
        <v>1876</v>
      </c>
    </row>
    <row r="310" ht="18.0" customHeight="1">
      <c r="A310" s="23" t="s">
        <v>2514</v>
      </c>
      <c r="B310" s="23" t="s">
        <v>512</v>
      </c>
      <c r="C310" s="23" t="s">
        <v>122</v>
      </c>
      <c r="D310" s="23" t="s">
        <v>1878</v>
      </c>
      <c r="E310" s="25">
        <v>45327.402430022135</v>
      </c>
      <c r="F310" s="23" t="s">
        <v>11</v>
      </c>
      <c r="G310" s="23" t="s">
        <v>2515</v>
      </c>
      <c r="H310" s="23" t="s">
        <v>1583</v>
      </c>
      <c r="I310" s="23">
        <v>3.0</v>
      </c>
      <c r="J310" s="23" t="s">
        <v>1881</v>
      </c>
    </row>
    <row r="311" ht="18.0" customHeight="1">
      <c r="A311" s="23" t="s">
        <v>2516</v>
      </c>
      <c r="B311" s="23" t="s">
        <v>512</v>
      </c>
      <c r="C311" s="23" t="s">
        <v>517</v>
      </c>
      <c r="D311" s="23" t="s">
        <v>1883</v>
      </c>
      <c r="E311" s="25">
        <v>45557.83315220126</v>
      </c>
      <c r="F311" s="23" t="s">
        <v>1874</v>
      </c>
      <c r="G311" s="23" t="s">
        <v>2517</v>
      </c>
      <c r="H311" s="23" t="s">
        <v>1909</v>
      </c>
      <c r="I311" s="23">
        <v>1.0</v>
      </c>
      <c r="J311" s="23" t="s">
        <v>1885</v>
      </c>
    </row>
    <row r="312" ht="18.0" customHeight="1">
      <c r="A312" s="23" t="s">
        <v>2518</v>
      </c>
      <c r="B312" s="23" t="s">
        <v>512</v>
      </c>
      <c r="C312" s="23" t="s">
        <v>189</v>
      </c>
      <c r="D312" s="23" t="s">
        <v>1887</v>
      </c>
      <c r="E312" s="25">
        <v>45797.84924797295</v>
      </c>
      <c r="F312" s="23" t="s">
        <v>404</v>
      </c>
      <c r="G312" s="23" t="s">
        <v>2519</v>
      </c>
      <c r="H312" s="23" t="s">
        <v>1583</v>
      </c>
      <c r="I312" s="23">
        <v>1.0</v>
      </c>
      <c r="J312" s="23" t="s">
        <v>1889</v>
      </c>
    </row>
    <row r="313" ht="18.0" customHeight="1">
      <c r="A313" s="23" t="s">
        <v>2520</v>
      </c>
      <c r="B313" s="23" t="s">
        <v>512</v>
      </c>
      <c r="C313" s="23" t="s">
        <v>184</v>
      </c>
      <c r="D313" s="23" t="s">
        <v>1898</v>
      </c>
      <c r="E313" s="25">
        <v>45823.38392211101</v>
      </c>
      <c r="F313" s="23" t="s">
        <v>342</v>
      </c>
      <c r="G313" s="23" t="s">
        <v>2521</v>
      </c>
      <c r="H313" s="23" t="s">
        <v>1583</v>
      </c>
      <c r="I313" s="23">
        <v>2.0</v>
      </c>
      <c r="J313" s="23" t="s">
        <v>1900</v>
      </c>
    </row>
    <row r="314" ht="18.0" customHeight="1">
      <c r="A314" s="23" t="s">
        <v>2522</v>
      </c>
      <c r="B314" s="23" t="s">
        <v>520</v>
      </c>
      <c r="C314" s="23" t="s">
        <v>412</v>
      </c>
      <c r="D314" s="23" t="s">
        <v>1883</v>
      </c>
      <c r="E314" s="25">
        <v>46043.51454164181</v>
      </c>
      <c r="F314" s="23" t="s">
        <v>342</v>
      </c>
      <c r="G314" s="23" t="s">
        <v>2523</v>
      </c>
      <c r="H314" s="23" t="s">
        <v>1866</v>
      </c>
      <c r="I314" s="23">
        <v>1.0</v>
      </c>
      <c r="J314" s="23" t="s">
        <v>1885</v>
      </c>
    </row>
    <row r="315" ht="18.0" customHeight="1">
      <c r="A315" s="23" t="s">
        <v>2524</v>
      </c>
      <c r="B315" s="23" t="s">
        <v>520</v>
      </c>
      <c r="C315" s="23" t="s">
        <v>264</v>
      </c>
      <c r="D315" s="23" t="s">
        <v>1887</v>
      </c>
      <c r="E315" s="25">
        <v>46118.27296104957</v>
      </c>
      <c r="F315" s="23" t="s">
        <v>11</v>
      </c>
      <c r="G315" s="23" t="s">
        <v>2525</v>
      </c>
      <c r="H315" s="23" t="s">
        <v>1583</v>
      </c>
      <c r="I315" s="23">
        <v>1.0</v>
      </c>
      <c r="J315" s="23" t="s">
        <v>1889</v>
      </c>
    </row>
    <row r="316" ht="18.0" customHeight="1">
      <c r="A316" s="23" t="s">
        <v>2526</v>
      </c>
      <c r="B316" s="23" t="s">
        <v>520</v>
      </c>
      <c r="C316" s="23" t="s">
        <v>234</v>
      </c>
      <c r="D316" s="23" t="s">
        <v>1898</v>
      </c>
      <c r="E316" s="25">
        <v>46070.32040975476</v>
      </c>
      <c r="F316" s="23" t="s">
        <v>1874</v>
      </c>
      <c r="G316" s="23" t="s">
        <v>2527</v>
      </c>
      <c r="H316" s="23" t="s">
        <v>1583</v>
      </c>
      <c r="I316" s="23">
        <v>2.0</v>
      </c>
      <c r="J316" s="23" t="s">
        <v>1900</v>
      </c>
    </row>
    <row r="317" ht="18.0" customHeight="1">
      <c r="A317" s="23" t="s">
        <v>2528</v>
      </c>
      <c r="B317" s="23" t="s">
        <v>520</v>
      </c>
      <c r="C317" s="23" t="s">
        <v>122</v>
      </c>
      <c r="D317" s="23" t="s">
        <v>1902</v>
      </c>
      <c r="E317" s="25">
        <v>46146.2997022185</v>
      </c>
      <c r="F317" s="23" t="s">
        <v>404</v>
      </c>
      <c r="G317" s="23" t="s">
        <v>2529</v>
      </c>
      <c r="H317" s="23" t="s">
        <v>1880</v>
      </c>
      <c r="I317" s="23">
        <v>2.0</v>
      </c>
      <c r="J317" s="23" t="s">
        <v>1904</v>
      </c>
    </row>
    <row r="318" ht="18.0" customHeight="1">
      <c r="A318" s="23" t="s">
        <v>2530</v>
      </c>
      <c r="B318" s="23" t="s">
        <v>520</v>
      </c>
      <c r="C318" s="23" t="s">
        <v>311</v>
      </c>
      <c r="D318" s="23" t="s">
        <v>1864</v>
      </c>
      <c r="E318" s="25">
        <v>45410.195067189634</v>
      </c>
      <c r="F318" s="23" t="s">
        <v>342</v>
      </c>
      <c r="G318" s="23" t="s">
        <v>2531</v>
      </c>
      <c r="H318" s="23" t="s">
        <v>1583</v>
      </c>
      <c r="I318" s="23">
        <v>1.0</v>
      </c>
      <c r="J318" s="23" t="s">
        <v>1867</v>
      </c>
    </row>
    <row r="319" ht="18.0" customHeight="1">
      <c r="A319" s="23" t="s">
        <v>2532</v>
      </c>
      <c r="B319" s="23" t="s">
        <v>520</v>
      </c>
      <c r="C319" s="23" t="s">
        <v>356</v>
      </c>
      <c r="D319" s="23" t="s">
        <v>1869</v>
      </c>
      <c r="E319" s="25">
        <v>46035.2853590718</v>
      </c>
      <c r="F319" s="23" t="s">
        <v>11</v>
      </c>
      <c r="G319" s="23" t="s">
        <v>2533</v>
      </c>
      <c r="H319" s="23" t="s">
        <v>1583</v>
      </c>
      <c r="I319" s="23">
        <v>4.0</v>
      </c>
      <c r="J319" s="23" t="s">
        <v>1871</v>
      </c>
    </row>
    <row r="320" ht="18.0" customHeight="1">
      <c r="A320" s="23" t="s">
        <v>2534</v>
      </c>
      <c r="B320" s="23" t="s">
        <v>529</v>
      </c>
      <c r="C320" s="23" t="s">
        <v>80</v>
      </c>
      <c r="D320" s="23" t="s">
        <v>1902</v>
      </c>
      <c r="E320" s="25">
        <v>45942.58505772939</v>
      </c>
      <c r="F320" s="23" t="s">
        <v>11</v>
      </c>
      <c r="G320" s="23" t="s">
        <v>2535</v>
      </c>
      <c r="H320" s="23" t="s">
        <v>1892</v>
      </c>
      <c r="I320" s="23">
        <v>2.0</v>
      </c>
      <c r="J320" s="23" t="s">
        <v>1904</v>
      </c>
    </row>
    <row r="321" ht="18.0" customHeight="1">
      <c r="A321" s="23" t="s">
        <v>2536</v>
      </c>
      <c r="B321" s="23" t="s">
        <v>529</v>
      </c>
      <c r="C321" s="23" t="s">
        <v>147</v>
      </c>
      <c r="D321" s="23" t="s">
        <v>1864</v>
      </c>
      <c r="E321" s="25">
        <v>45594.032273994526</v>
      </c>
      <c r="F321" s="23" t="s">
        <v>1874</v>
      </c>
      <c r="G321" s="23" t="s">
        <v>2537</v>
      </c>
      <c r="H321" s="23" t="s">
        <v>1583</v>
      </c>
      <c r="I321" s="23">
        <v>1.0</v>
      </c>
      <c r="J321" s="23" t="s">
        <v>1867</v>
      </c>
    </row>
    <row r="322" ht="18.0" customHeight="1">
      <c r="A322" s="23" t="s">
        <v>2538</v>
      </c>
      <c r="B322" s="23" t="s">
        <v>529</v>
      </c>
      <c r="C322" s="23" t="s">
        <v>112</v>
      </c>
      <c r="D322" s="23" t="s">
        <v>1869</v>
      </c>
      <c r="E322" s="25">
        <v>46040.20582435932</v>
      </c>
      <c r="F322" s="23" t="s">
        <v>404</v>
      </c>
      <c r="G322" s="23" t="s">
        <v>2539</v>
      </c>
      <c r="H322" s="23" t="s">
        <v>1583</v>
      </c>
      <c r="I322" s="23">
        <v>4.0</v>
      </c>
      <c r="J322" s="23" t="s">
        <v>1871</v>
      </c>
    </row>
    <row r="323" ht="18.0" customHeight="1">
      <c r="A323" s="23" t="s">
        <v>2540</v>
      </c>
      <c r="B323" s="23" t="s">
        <v>529</v>
      </c>
      <c r="C323" s="23" t="s">
        <v>234</v>
      </c>
      <c r="D323" s="23" t="s">
        <v>1873</v>
      </c>
      <c r="E323" s="25">
        <v>45497.99385352922</v>
      </c>
      <c r="F323" s="23" t="s">
        <v>342</v>
      </c>
      <c r="G323" s="23" t="s">
        <v>2541</v>
      </c>
      <c r="H323" s="23" t="s">
        <v>1866</v>
      </c>
      <c r="I323" s="23">
        <v>3.0</v>
      </c>
      <c r="J323" s="23" t="s">
        <v>1876</v>
      </c>
    </row>
    <row r="324" ht="18.0" customHeight="1">
      <c r="A324" s="23" t="s">
        <v>2542</v>
      </c>
      <c r="B324" s="23" t="s">
        <v>529</v>
      </c>
      <c r="C324" s="23" t="s">
        <v>412</v>
      </c>
      <c r="D324" s="23" t="s">
        <v>1878</v>
      </c>
      <c r="E324" s="25">
        <v>45727.77123769419</v>
      </c>
      <c r="F324" s="23" t="s">
        <v>11</v>
      </c>
      <c r="G324" s="23" t="s">
        <v>2543</v>
      </c>
      <c r="H324" s="23" t="s">
        <v>1583</v>
      </c>
      <c r="I324" s="23">
        <v>3.0</v>
      </c>
      <c r="J324" s="23" t="s">
        <v>1881</v>
      </c>
    </row>
    <row r="325" ht="18.0" customHeight="1">
      <c r="A325" s="23" t="s">
        <v>2544</v>
      </c>
      <c r="B325" s="23" t="s">
        <v>529</v>
      </c>
      <c r="C325" s="23" t="s">
        <v>189</v>
      </c>
      <c r="D325" s="23" t="s">
        <v>1883</v>
      </c>
      <c r="E325" s="25">
        <v>45561.94207745488</v>
      </c>
      <c r="F325" s="23" t="s">
        <v>1874</v>
      </c>
      <c r="G325" s="23" t="s">
        <v>2545</v>
      </c>
      <c r="H325" s="23" t="s">
        <v>1583</v>
      </c>
      <c r="I325" s="23">
        <v>1.0</v>
      </c>
      <c r="J325" s="23" t="s">
        <v>1885</v>
      </c>
    </row>
    <row r="326" ht="18.0" customHeight="1">
      <c r="A326" s="23" t="s">
        <v>2546</v>
      </c>
      <c r="B326" s="23" t="s">
        <v>536</v>
      </c>
      <c r="C326" s="23" t="s">
        <v>122</v>
      </c>
      <c r="D326" s="23" t="s">
        <v>1873</v>
      </c>
      <c r="E326" s="25">
        <v>45722.15069093369</v>
      </c>
      <c r="F326" s="23" t="s">
        <v>1874</v>
      </c>
      <c r="G326" s="23" t="s">
        <v>2547</v>
      </c>
      <c r="H326" s="23" t="s">
        <v>1909</v>
      </c>
      <c r="I326" s="23">
        <v>3.0</v>
      </c>
      <c r="J326" s="23" t="s">
        <v>1876</v>
      </c>
    </row>
    <row r="327" ht="18.0" customHeight="1">
      <c r="A327" s="23" t="s">
        <v>2548</v>
      </c>
      <c r="B327" s="23" t="s">
        <v>536</v>
      </c>
      <c r="C327" s="23" t="s">
        <v>234</v>
      </c>
      <c r="D327" s="23" t="s">
        <v>1878</v>
      </c>
      <c r="E327" s="25">
        <v>46093.912733085686</v>
      </c>
      <c r="F327" s="23" t="s">
        <v>404</v>
      </c>
      <c r="G327" s="23" t="s">
        <v>2549</v>
      </c>
      <c r="H327" s="23" t="s">
        <v>1583</v>
      </c>
      <c r="I327" s="23">
        <v>3.0</v>
      </c>
      <c r="J327" s="23" t="s">
        <v>1881</v>
      </c>
    </row>
    <row r="328" ht="18.0" customHeight="1">
      <c r="A328" s="23" t="s">
        <v>2550</v>
      </c>
      <c r="B328" s="23" t="s">
        <v>536</v>
      </c>
      <c r="C328" s="23" t="s">
        <v>331</v>
      </c>
      <c r="D328" s="23" t="s">
        <v>1883</v>
      </c>
      <c r="E328" s="25">
        <v>45490.88381505711</v>
      </c>
      <c r="F328" s="23" t="s">
        <v>342</v>
      </c>
      <c r="G328" s="23" t="s">
        <v>2551</v>
      </c>
      <c r="H328" s="23" t="s">
        <v>1583</v>
      </c>
      <c r="I328" s="23">
        <v>1.0</v>
      </c>
      <c r="J328" s="23" t="s">
        <v>1885</v>
      </c>
    </row>
    <row r="329" ht="18.0" customHeight="1">
      <c r="A329" s="23" t="s">
        <v>2552</v>
      </c>
      <c r="B329" s="23" t="s">
        <v>536</v>
      </c>
      <c r="C329" s="23" t="s">
        <v>234</v>
      </c>
      <c r="D329" s="23" t="s">
        <v>1887</v>
      </c>
      <c r="E329" s="25">
        <v>45618.94387771911</v>
      </c>
      <c r="F329" s="23" t="s">
        <v>11</v>
      </c>
      <c r="G329" s="23" t="s">
        <v>2553</v>
      </c>
      <c r="H329" s="23" t="s">
        <v>1892</v>
      </c>
      <c r="I329" s="23">
        <v>1.0</v>
      </c>
      <c r="J329" s="23" t="s">
        <v>1889</v>
      </c>
    </row>
    <row r="330" ht="18.0" customHeight="1">
      <c r="A330" s="23" t="s">
        <v>2554</v>
      </c>
      <c r="B330" s="23" t="s">
        <v>536</v>
      </c>
      <c r="C330" s="23" t="s">
        <v>296</v>
      </c>
      <c r="D330" s="23" t="s">
        <v>1898</v>
      </c>
      <c r="E330" s="25">
        <v>46099.55025078077</v>
      </c>
      <c r="F330" s="23" t="s">
        <v>1874</v>
      </c>
      <c r="G330" s="23" t="s">
        <v>2555</v>
      </c>
      <c r="H330" s="23" t="s">
        <v>1583</v>
      </c>
      <c r="I330" s="23">
        <v>2.0</v>
      </c>
      <c r="J330" s="23" t="s">
        <v>1900</v>
      </c>
    </row>
    <row r="331" ht="18.0" customHeight="1">
      <c r="A331" s="23" t="s">
        <v>2556</v>
      </c>
      <c r="B331" s="23" t="s">
        <v>536</v>
      </c>
      <c r="C331" s="23" t="s">
        <v>271</v>
      </c>
      <c r="D331" s="23" t="s">
        <v>1902</v>
      </c>
      <c r="E331" s="25">
        <v>45867.16307122563</v>
      </c>
      <c r="F331" s="23" t="s">
        <v>404</v>
      </c>
      <c r="G331" s="23" t="s">
        <v>2557</v>
      </c>
      <c r="H331" s="23" t="s">
        <v>1583</v>
      </c>
      <c r="I331" s="23">
        <v>2.0</v>
      </c>
      <c r="J331" s="23" t="s">
        <v>1904</v>
      </c>
    </row>
    <row r="332" ht="18.0" customHeight="1">
      <c r="A332" s="23" t="s">
        <v>2558</v>
      </c>
      <c r="B332" s="23" t="s">
        <v>254</v>
      </c>
      <c r="C332" s="23" t="s">
        <v>336</v>
      </c>
      <c r="D332" s="23" t="s">
        <v>1887</v>
      </c>
      <c r="E332" s="25">
        <v>45795.957734114025</v>
      </c>
      <c r="F332" s="23" t="s">
        <v>404</v>
      </c>
      <c r="G332" s="23" t="s">
        <v>2559</v>
      </c>
      <c r="H332" s="23" t="s">
        <v>1880</v>
      </c>
      <c r="I332" s="23">
        <v>1.0</v>
      </c>
      <c r="J332" s="23" t="s">
        <v>1889</v>
      </c>
    </row>
    <row r="333" ht="18.0" customHeight="1">
      <c r="A333" s="23" t="s">
        <v>2560</v>
      </c>
      <c r="B333" s="23" t="s">
        <v>254</v>
      </c>
      <c r="C333" s="23" t="s">
        <v>402</v>
      </c>
      <c r="D333" s="23" t="s">
        <v>1898</v>
      </c>
      <c r="E333" s="25">
        <v>45801.68614733475</v>
      </c>
      <c r="F333" s="23" t="s">
        <v>342</v>
      </c>
      <c r="G333" s="23" t="s">
        <v>2561</v>
      </c>
      <c r="H333" s="23" t="s">
        <v>1583</v>
      </c>
      <c r="I333" s="23">
        <v>2.0</v>
      </c>
      <c r="J333" s="23" t="s">
        <v>1900</v>
      </c>
    </row>
    <row r="334" ht="18.0" customHeight="1">
      <c r="A334" s="23" t="s">
        <v>2562</v>
      </c>
      <c r="B334" s="23" t="s">
        <v>254</v>
      </c>
      <c r="C334" s="23" t="s">
        <v>147</v>
      </c>
      <c r="D334" s="23" t="s">
        <v>1902</v>
      </c>
      <c r="E334" s="25">
        <v>45352.78851016238</v>
      </c>
      <c r="F334" s="23" t="s">
        <v>11</v>
      </c>
      <c r="G334" s="23" t="s">
        <v>2563</v>
      </c>
      <c r="H334" s="23" t="s">
        <v>1583</v>
      </c>
      <c r="I334" s="23">
        <v>2.0</v>
      </c>
      <c r="J334" s="23" t="s">
        <v>1904</v>
      </c>
    </row>
    <row r="335" ht="18.0" customHeight="1">
      <c r="A335" s="23" t="s">
        <v>2564</v>
      </c>
      <c r="B335" s="23" t="s">
        <v>254</v>
      </c>
      <c r="C335" s="23" t="s">
        <v>184</v>
      </c>
      <c r="D335" s="23" t="s">
        <v>1864</v>
      </c>
      <c r="E335" s="25">
        <v>45875.127206234494</v>
      </c>
      <c r="F335" s="23" t="s">
        <v>1874</v>
      </c>
      <c r="G335" s="23" t="s">
        <v>2565</v>
      </c>
      <c r="H335" s="23" t="s">
        <v>1909</v>
      </c>
      <c r="I335" s="23">
        <v>1.0</v>
      </c>
      <c r="J335" s="23" t="s">
        <v>1867</v>
      </c>
    </row>
    <row r="336" ht="18.0" customHeight="1">
      <c r="A336" s="23" t="s">
        <v>2566</v>
      </c>
      <c r="B336" s="23" t="s">
        <v>254</v>
      </c>
      <c r="C336" s="23" t="s">
        <v>175</v>
      </c>
      <c r="D336" s="23" t="s">
        <v>1869</v>
      </c>
      <c r="E336" s="25">
        <v>45779.0442851386</v>
      </c>
      <c r="F336" s="23" t="s">
        <v>404</v>
      </c>
      <c r="G336" s="23" t="s">
        <v>2567</v>
      </c>
      <c r="H336" s="23" t="s">
        <v>1583</v>
      </c>
      <c r="I336" s="23">
        <v>4.0</v>
      </c>
      <c r="J336" s="23" t="s">
        <v>1871</v>
      </c>
    </row>
    <row r="337" ht="18.0" customHeight="1">
      <c r="A337" s="23" t="s">
        <v>2568</v>
      </c>
      <c r="B337" s="23" t="s">
        <v>254</v>
      </c>
      <c r="C337" s="23" t="s">
        <v>264</v>
      </c>
      <c r="D337" s="23" t="s">
        <v>1873</v>
      </c>
      <c r="E337" s="25">
        <v>45905.348612664035</v>
      </c>
      <c r="F337" s="23" t="s">
        <v>342</v>
      </c>
      <c r="G337" s="23" t="s">
        <v>2569</v>
      </c>
      <c r="H337" s="23" t="s">
        <v>1583</v>
      </c>
      <c r="I337" s="23">
        <v>3.0</v>
      </c>
      <c r="J337" s="23" t="s">
        <v>1876</v>
      </c>
    </row>
    <row r="338" ht="18.0" customHeight="1">
      <c r="A338" s="23" t="s">
        <v>2570</v>
      </c>
      <c r="B338" s="23" t="s">
        <v>95</v>
      </c>
      <c r="C338" s="23" t="s">
        <v>424</v>
      </c>
      <c r="D338" s="23" t="s">
        <v>1864</v>
      </c>
      <c r="E338" s="25">
        <v>46190.66605935525</v>
      </c>
      <c r="F338" s="23" t="s">
        <v>342</v>
      </c>
      <c r="G338" s="23" t="s">
        <v>2571</v>
      </c>
      <c r="H338" s="23" t="s">
        <v>1866</v>
      </c>
      <c r="I338" s="23">
        <v>1.0</v>
      </c>
      <c r="J338" s="23" t="s">
        <v>1867</v>
      </c>
    </row>
    <row r="339" ht="18.0" customHeight="1">
      <c r="A339" s="23" t="s">
        <v>2572</v>
      </c>
      <c r="B339" s="23" t="s">
        <v>95</v>
      </c>
      <c r="C339" s="23" t="s">
        <v>177</v>
      </c>
      <c r="D339" s="23" t="s">
        <v>1869</v>
      </c>
      <c r="E339" s="25">
        <v>46051.96357274172</v>
      </c>
      <c r="F339" s="23" t="s">
        <v>11</v>
      </c>
      <c r="G339" s="23" t="s">
        <v>2573</v>
      </c>
      <c r="H339" s="23" t="s">
        <v>1583</v>
      </c>
      <c r="I339" s="23">
        <v>4.0</v>
      </c>
      <c r="J339" s="23" t="s">
        <v>1871</v>
      </c>
    </row>
    <row r="340" ht="18.0" customHeight="1">
      <c r="A340" s="23" t="s">
        <v>2574</v>
      </c>
      <c r="B340" s="23" t="s">
        <v>95</v>
      </c>
      <c r="C340" s="23" t="s">
        <v>331</v>
      </c>
      <c r="D340" s="23" t="s">
        <v>1873</v>
      </c>
      <c r="E340" s="25">
        <v>45306.88975428464</v>
      </c>
      <c r="F340" s="23" t="s">
        <v>1874</v>
      </c>
      <c r="G340" s="23" t="s">
        <v>2575</v>
      </c>
      <c r="H340" s="23" t="s">
        <v>1583</v>
      </c>
      <c r="I340" s="23">
        <v>3.0</v>
      </c>
      <c r="J340" s="23" t="s">
        <v>1876</v>
      </c>
    </row>
    <row r="341" ht="18.0" customHeight="1">
      <c r="A341" s="23" t="s">
        <v>2576</v>
      </c>
      <c r="B341" s="23" t="s">
        <v>95</v>
      </c>
      <c r="C341" s="23" t="s">
        <v>527</v>
      </c>
      <c r="D341" s="23" t="s">
        <v>1878</v>
      </c>
      <c r="E341" s="25">
        <v>45727.1048393331</v>
      </c>
      <c r="F341" s="23" t="s">
        <v>404</v>
      </c>
      <c r="G341" s="23" t="s">
        <v>2577</v>
      </c>
      <c r="H341" s="23" t="s">
        <v>1880</v>
      </c>
      <c r="I341" s="23">
        <v>3.0</v>
      </c>
      <c r="J341" s="23" t="s">
        <v>1881</v>
      </c>
    </row>
    <row r="342" ht="18.0" customHeight="1">
      <c r="A342" s="23" t="s">
        <v>2578</v>
      </c>
      <c r="B342" s="23" t="s">
        <v>95</v>
      </c>
      <c r="C342" s="23" t="s">
        <v>424</v>
      </c>
      <c r="D342" s="23" t="s">
        <v>1883</v>
      </c>
      <c r="E342" s="25">
        <v>45614.54405458458</v>
      </c>
      <c r="F342" s="23" t="s">
        <v>342</v>
      </c>
      <c r="G342" s="23" t="s">
        <v>2579</v>
      </c>
      <c r="H342" s="23" t="s">
        <v>1583</v>
      </c>
      <c r="I342" s="23">
        <v>1.0</v>
      </c>
      <c r="J342" s="23" t="s">
        <v>1885</v>
      </c>
    </row>
    <row r="343" ht="18.0" customHeight="1">
      <c r="A343" s="23" t="s">
        <v>2580</v>
      </c>
      <c r="B343" s="23" t="s">
        <v>95</v>
      </c>
      <c r="C343" s="23" t="s">
        <v>353</v>
      </c>
      <c r="D343" s="23" t="s">
        <v>1887</v>
      </c>
      <c r="E343" s="25">
        <v>45567.65375982621</v>
      </c>
      <c r="F343" s="23" t="s">
        <v>11</v>
      </c>
      <c r="G343" s="23" t="s">
        <v>2581</v>
      </c>
      <c r="H343" s="23" t="s">
        <v>1583</v>
      </c>
      <c r="I343" s="23">
        <v>1.0</v>
      </c>
      <c r="J343" s="23" t="s">
        <v>1889</v>
      </c>
    </row>
    <row r="344" ht="18.0" customHeight="1">
      <c r="A344" s="23" t="s">
        <v>2582</v>
      </c>
      <c r="B344" s="23" t="s">
        <v>552</v>
      </c>
      <c r="C344" s="23" t="s">
        <v>489</v>
      </c>
      <c r="D344" s="23" t="s">
        <v>1878</v>
      </c>
      <c r="E344" s="25">
        <v>46143.415831300896</v>
      </c>
      <c r="F344" s="23" t="s">
        <v>11</v>
      </c>
      <c r="G344" s="23" t="s">
        <v>2583</v>
      </c>
      <c r="H344" s="23" t="s">
        <v>1892</v>
      </c>
      <c r="I344" s="23">
        <v>3.0</v>
      </c>
      <c r="J344" s="23" t="s">
        <v>1881</v>
      </c>
    </row>
    <row r="345" ht="18.0" customHeight="1">
      <c r="A345" s="23" t="s">
        <v>2584</v>
      </c>
      <c r="B345" s="23" t="s">
        <v>552</v>
      </c>
      <c r="C345" s="23" t="s">
        <v>507</v>
      </c>
      <c r="D345" s="23" t="s">
        <v>1883</v>
      </c>
      <c r="E345" s="25">
        <v>45755.54673174373</v>
      </c>
      <c r="F345" s="23" t="s">
        <v>1874</v>
      </c>
      <c r="G345" s="23" t="s">
        <v>2585</v>
      </c>
      <c r="H345" s="23" t="s">
        <v>1583</v>
      </c>
      <c r="I345" s="23">
        <v>1.0</v>
      </c>
      <c r="J345" s="23" t="s">
        <v>1885</v>
      </c>
    </row>
    <row r="346" ht="18.0" customHeight="1">
      <c r="A346" s="23" t="s">
        <v>2586</v>
      </c>
      <c r="B346" s="23" t="s">
        <v>552</v>
      </c>
      <c r="C346" s="23" t="s">
        <v>331</v>
      </c>
      <c r="D346" s="23" t="s">
        <v>1887</v>
      </c>
      <c r="E346" s="25">
        <v>45661.31339527015</v>
      </c>
      <c r="F346" s="23" t="s">
        <v>404</v>
      </c>
      <c r="G346" s="23" t="s">
        <v>2587</v>
      </c>
      <c r="H346" s="23" t="s">
        <v>1583</v>
      </c>
      <c r="I346" s="23">
        <v>1.0</v>
      </c>
      <c r="J346" s="23" t="s">
        <v>1889</v>
      </c>
    </row>
    <row r="347" ht="18.0" customHeight="1">
      <c r="A347" s="23" t="s">
        <v>2588</v>
      </c>
      <c r="B347" s="23" t="s">
        <v>552</v>
      </c>
      <c r="C347" s="23" t="s">
        <v>424</v>
      </c>
      <c r="D347" s="23" t="s">
        <v>1898</v>
      </c>
      <c r="E347" s="25">
        <v>45494.503670684295</v>
      </c>
      <c r="F347" s="23" t="s">
        <v>342</v>
      </c>
      <c r="G347" s="23" t="s">
        <v>2589</v>
      </c>
      <c r="H347" s="23" t="s">
        <v>1866</v>
      </c>
      <c r="I347" s="23">
        <v>2.0</v>
      </c>
      <c r="J347" s="23" t="s">
        <v>1900</v>
      </c>
    </row>
    <row r="348" ht="18.0" customHeight="1">
      <c r="A348" s="23" t="s">
        <v>2590</v>
      </c>
      <c r="B348" s="23" t="s">
        <v>552</v>
      </c>
      <c r="C348" s="23" t="s">
        <v>356</v>
      </c>
      <c r="D348" s="23" t="s">
        <v>1902</v>
      </c>
      <c r="E348" s="25">
        <v>45456.36115005845</v>
      </c>
      <c r="F348" s="23" t="s">
        <v>11</v>
      </c>
      <c r="G348" s="23" t="s">
        <v>2591</v>
      </c>
      <c r="H348" s="23" t="s">
        <v>1583</v>
      </c>
      <c r="I348" s="23">
        <v>2.0</v>
      </c>
      <c r="J348" s="23" t="s">
        <v>1904</v>
      </c>
    </row>
    <row r="349" ht="18.0" customHeight="1">
      <c r="A349" s="23" t="s">
        <v>2592</v>
      </c>
      <c r="B349" s="23" t="s">
        <v>552</v>
      </c>
      <c r="C349" s="23" t="s">
        <v>353</v>
      </c>
      <c r="D349" s="23" t="s">
        <v>1864</v>
      </c>
      <c r="E349" s="25">
        <v>45301.61782164755</v>
      </c>
      <c r="F349" s="23" t="s">
        <v>1874</v>
      </c>
      <c r="G349" s="23" t="s">
        <v>2593</v>
      </c>
      <c r="H349" s="23" t="s">
        <v>1583</v>
      </c>
      <c r="I349" s="23">
        <v>1.0</v>
      </c>
      <c r="J349" s="23" t="s">
        <v>1867</v>
      </c>
    </row>
    <row r="350" ht="18.0" customHeight="1">
      <c r="A350" s="23" t="s">
        <v>2594</v>
      </c>
      <c r="B350" s="23" t="s">
        <v>560</v>
      </c>
      <c r="C350" s="23" t="s">
        <v>356</v>
      </c>
      <c r="D350" s="23" t="s">
        <v>1898</v>
      </c>
      <c r="E350" s="25">
        <v>45532.673471584916</v>
      </c>
      <c r="F350" s="23" t="s">
        <v>1874</v>
      </c>
      <c r="G350" s="23" t="s">
        <v>2595</v>
      </c>
      <c r="H350" s="23" t="s">
        <v>1909</v>
      </c>
      <c r="I350" s="23">
        <v>2.0</v>
      </c>
      <c r="J350" s="23" t="s">
        <v>1900</v>
      </c>
    </row>
    <row r="351" ht="18.0" customHeight="1">
      <c r="A351" s="23" t="s">
        <v>2596</v>
      </c>
      <c r="B351" s="23" t="s">
        <v>560</v>
      </c>
      <c r="C351" s="23" t="s">
        <v>424</v>
      </c>
      <c r="D351" s="23" t="s">
        <v>1902</v>
      </c>
      <c r="E351" s="25">
        <v>46166.270658860216</v>
      </c>
      <c r="F351" s="23" t="s">
        <v>404</v>
      </c>
      <c r="G351" s="23" t="s">
        <v>2597</v>
      </c>
      <c r="H351" s="23" t="s">
        <v>1583</v>
      </c>
      <c r="I351" s="23">
        <v>2.0</v>
      </c>
      <c r="J351" s="23" t="s">
        <v>1904</v>
      </c>
    </row>
    <row r="352" ht="18.0" customHeight="1">
      <c r="A352" s="23" t="s">
        <v>2598</v>
      </c>
      <c r="B352" s="23" t="s">
        <v>560</v>
      </c>
      <c r="C352" s="23" t="s">
        <v>353</v>
      </c>
      <c r="D352" s="23" t="s">
        <v>1864</v>
      </c>
      <c r="E352" s="25">
        <v>45857.693336890545</v>
      </c>
      <c r="F352" s="23" t="s">
        <v>342</v>
      </c>
      <c r="G352" s="23" t="s">
        <v>2599</v>
      </c>
      <c r="H352" s="23" t="s">
        <v>1583</v>
      </c>
      <c r="I352" s="23">
        <v>1.0</v>
      </c>
      <c r="J352" s="23" t="s">
        <v>1867</v>
      </c>
    </row>
    <row r="353" ht="18.0" customHeight="1">
      <c r="A353" s="23" t="s">
        <v>2600</v>
      </c>
      <c r="B353" s="23" t="s">
        <v>560</v>
      </c>
      <c r="C353" s="23" t="s">
        <v>112</v>
      </c>
      <c r="D353" s="23" t="s">
        <v>1869</v>
      </c>
      <c r="E353" s="25">
        <v>45472.85222078278</v>
      </c>
      <c r="F353" s="23" t="s">
        <v>11</v>
      </c>
      <c r="G353" s="23" t="s">
        <v>2601</v>
      </c>
      <c r="H353" s="23" t="s">
        <v>1892</v>
      </c>
      <c r="I353" s="23">
        <v>4.0</v>
      </c>
      <c r="J353" s="23" t="s">
        <v>1871</v>
      </c>
    </row>
    <row r="354" ht="18.0" customHeight="1">
      <c r="A354" s="23" t="s">
        <v>2602</v>
      </c>
      <c r="B354" s="23" t="s">
        <v>560</v>
      </c>
      <c r="C354" s="23" t="s">
        <v>402</v>
      </c>
      <c r="D354" s="23" t="s">
        <v>1873</v>
      </c>
      <c r="E354" s="25">
        <v>45496.45485732611</v>
      </c>
      <c r="F354" s="23" t="s">
        <v>1874</v>
      </c>
      <c r="G354" s="23" t="s">
        <v>2603</v>
      </c>
      <c r="H354" s="23" t="s">
        <v>1583</v>
      </c>
      <c r="I354" s="23">
        <v>3.0</v>
      </c>
      <c r="J354" s="23" t="s">
        <v>1876</v>
      </c>
    </row>
    <row r="355" ht="18.0" customHeight="1">
      <c r="A355" s="23" t="s">
        <v>2604</v>
      </c>
      <c r="B355" s="23" t="s">
        <v>560</v>
      </c>
      <c r="C355" s="23" t="s">
        <v>402</v>
      </c>
      <c r="D355" s="23" t="s">
        <v>1878</v>
      </c>
      <c r="E355" s="25">
        <v>45877.338516039075</v>
      </c>
      <c r="F355" s="23" t="s">
        <v>404</v>
      </c>
      <c r="G355" s="23" t="s">
        <v>2605</v>
      </c>
      <c r="H355" s="23" t="s">
        <v>1583</v>
      </c>
      <c r="I355" s="23">
        <v>3.0</v>
      </c>
      <c r="J355" s="23" t="s">
        <v>1881</v>
      </c>
    </row>
    <row r="356" ht="18.0" customHeight="1">
      <c r="A356" s="23" t="s">
        <v>2606</v>
      </c>
      <c r="B356" s="23" t="s">
        <v>566</v>
      </c>
      <c r="C356" s="23" t="s">
        <v>112</v>
      </c>
      <c r="D356" s="23" t="s">
        <v>1869</v>
      </c>
      <c r="E356" s="25">
        <v>45997.65094174491</v>
      </c>
      <c r="F356" s="23" t="s">
        <v>404</v>
      </c>
      <c r="G356" s="23" t="s">
        <v>2607</v>
      </c>
      <c r="H356" s="23" t="s">
        <v>1880</v>
      </c>
      <c r="I356" s="23">
        <v>4.0</v>
      </c>
      <c r="J356" s="23" t="s">
        <v>1871</v>
      </c>
    </row>
    <row r="357" ht="18.0" customHeight="1">
      <c r="A357" s="23" t="s">
        <v>2608</v>
      </c>
      <c r="B357" s="23" t="s">
        <v>566</v>
      </c>
      <c r="C357" s="23" t="s">
        <v>320</v>
      </c>
      <c r="D357" s="23" t="s">
        <v>1873</v>
      </c>
      <c r="E357" s="25">
        <v>46051.9661125734</v>
      </c>
      <c r="F357" s="23" t="s">
        <v>342</v>
      </c>
      <c r="G357" s="23" t="s">
        <v>2609</v>
      </c>
      <c r="H357" s="23" t="s">
        <v>1583</v>
      </c>
      <c r="I357" s="23">
        <v>3.0</v>
      </c>
      <c r="J357" s="23" t="s">
        <v>1876</v>
      </c>
    </row>
    <row r="358" ht="18.0" customHeight="1">
      <c r="A358" s="23" t="s">
        <v>2610</v>
      </c>
      <c r="B358" s="23" t="s">
        <v>566</v>
      </c>
      <c r="C358" s="23" t="s">
        <v>234</v>
      </c>
      <c r="D358" s="23" t="s">
        <v>1878</v>
      </c>
      <c r="E358" s="25">
        <v>45751.97032309882</v>
      </c>
      <c r="F358" s="23" t="s">
        <v>11</v>
      </c>
      <c r="G358" s="23" t="s">
        <v>2611</v>
      </c>
      <c r="H358" s="23" t="s">
        <v>1583</v>
      </c>
      <c r="I358" s="23">
        <v>3.0</v>
      </c>
      <c r="J358" s="23" t="s">
        <v>1881</v>
      </c>
    </row>
    <row r="359" ht="18.0" customHeight="1">
      <c r="A359" s="23" t="s">
        <v>2612</v>
      </c>
      <c r="B359" s="23" t="s">
        <v>566</v>
      </c>
      <c r="C359" s="23" t="s">
        <v>353</v>
      </c>
      <c r="D359" s="23" t="s">
        <v>1883</v>
      </c>
      <c r="E359" s="25">
        <v>45888.612186402315</v>
      </c>
      <c r="F359" s="23" t="s">
        <v>1874</v>
      </c>
      <c r="G359" s="23" t="s">
        <v>2613</v>
      </c>
      <c r="H359" s="23" t="s">
        <v>1909</v>
      </c>
      <c r="I359" s="23">
        <v>1.0</v>
      </c>
      <c r="J359" s="23" t="s">
        <v>1885</v>
      </c>
    </row>
    <row r="360" ht="18.0" customHeight="1">
      <c r="A360" s="23" t="s">
        <v>2614</v>
      </c>
      <c r="B360" s="23" t="s">
        <v>566</v>
      </c>
      <c r="C360" s="23" t="s">
        <v>210</v>
      </c>
      <c r="D360" s="23" t="s">
        <v>1887</v>
      </c>
      <c r="E360" s="25">
        <v>45695.52462714864</v>
      </c>
      <c r="F360" s="23" t="s">
        <v>404</v>
      </c>
      <c r="G360" s="23" t="s">
        <v>2615</v>
      </c>
      <c r="H360" s="23" t="s">
        <v>1583</v>
      </c>
      <c r="I360" s="23">
        <v>1.0</v>
      </c>
      <c r="J360" s="23" t="s">
        <v>1889</v>
      </c>
    </row>
    <row r="361" ht="18.0" customHeight="1">
      <c r="A361" s="23" t="s">
        <v>2616</v>
      </c>
      <c r="B361" s="23" t="s">
        <v>566</v>
      </c>
      <c r="C361" s="23" t="s">
        <v>320</v>
      </c>
      <c r="D361" s="23" t="s">
        <v>1898</v>
      </c>
      <c r="E361" s="25">
        <v>46044.09865789092</v>
      </c>
      <c r="F361" s="23" t="s">
        <v>342</v>
      </c>
      <c r="G361" s="23" t="s">
        <v>2617</v>
      </c>
      <c r="H361" s="23" t="s">
        <v>1583</v>
      </c>
      <c r="I361" s="23">
        <v>2.0</v>
      </c>
      <c r="J361" s="23" t="s">
        <v>1900</v>
      </c>
    </row>
    <row r="362" ht="18.0" customHeight="1">
      <c r="A362" s="23" t="s">
        <v>2618</v>
      </c>
      <c r="B362" s="23" t="s">
        <v>571</v>
      </c>
      <c r="C362" s="23" t="s">
        <v>465</v>
      </c>
      <c r="D362" s="23" t="s">
        <v>1883</v>
      </c>
      <c r="E362" s="25">
        <v>45980.62854481209</v>
      </c>
      <c r="F362" s="23" t="s">
        <v>342</v>
      </c>
      <c r="G362" s="23" t="s">
        <v>2619</v>
      </c>
      <c r="H362" s="23" t="s">
        <v>1866</v>
      </c>
      <c r="I362" s="23">
        <v>1.0</v>
      </c>
      <c r="J362" s="23" t="s">
        <v>1885</v>
      </c>
    </row>
    <row r="363" ht="18.0" customHeight="1">
      <c r="A363" s="23" t="s">
        <v>2620</v>
      </c>
      <c r="B363" s="23" t="s">
        <v>571</v>
      </c>
      <c r="C363" s="23" t="s">
        <v>545</v>
      </c>
      <c r="D363" s="23" t="s">
        <v>1887</v>
      </c>
      <c r="E363" s="25">
        <v>45574.054082545685</v>
      </c>
      <c r="F363" s="23" t="s">
        <v>11</v>
      </c>
      <c r="G363" s="23" t="s">
        <v>2621</v>
      </c>
      <c r="H363" s="23" t="s">
        <v>1583</v>
      </c>
      <c r="I363" s="23">
        <v>1.0</v>
      </c>
      <c r="J363" s="23" t="s">
        <v>1889</v>
      </c>
    </row>
    <row r="364" ht="18.0" customHeight="1">
      <c r="A364" s="23" t="s">
        <v>2623</v>
      </c>
      <c r="B364" s="23" t="s">
        <v>571</v>
      </c>
      <c r="C364" s="23" t="s">
        <v>331</v>
      </c>
      <c r="D364" s="23" t="s">
        <v>1898</v>
      </c>
      <c r="E364" s="25">
        <v>45893.5369899855</v>
      </c>
      <c r="F364" s="23" t="s">
        <v>1874</v>
      </c>
      <c r="G364" s="23" t="s">
        <v>2624</v>
      </c>
      <c r="H364" s="23" t="s">
        <v>1583</v>
      </c>
      <c r="I364" s="23">
        <v>2.0</v>
      </c>
      <c r="J364" s="23" t="s">
        <v>1900</v>
      </c>
    </row>
    <row r="365" ht="18.0" customHeight="1">
      <c r="A365" s="23" t="s">
        <v>2625</v>
      </c>
      <c r="B365" s="23" t="s">
        <v>571</v>
      </c>
      <c r="C365" s="23" t="s">
        <v>43</v>
      </c>
      <c r="D365" s="23" t="s">
        <v>1902</v>
      </c>
      <c r="E365" s="25">
        <v>45773.24918987858</v>
      </c>
      <c r="F365" s="23" t="s">
        <v>404</v>
      </c>
      <c r="G365" s="23" t="s">
        <v>2626</v>
      </c>
      <c r="H365" s="23" t="s">
        <v>1880</v>
      </c>
      <c r="I365" s="23">
        <v>2.0</v>
      </c>
      <c r="J365" s="23" t="s">
        <v>1904</v>
      </c>
    </row>
    <row r="366" ht="18.0" customHeight="1">
      <c r="A366" s="23" t="s">
        <v>2627</v>
      </c>
      <c r="B366" s="23" t="s">
        <v>571</v>
      </c>
      <c r="C366" s="23" t="s">
        <v>283</v>
      </c>
      <c r="D366" s="23" t="s">
        <v>1864</v>
      </c>
      <c r="E366" s="25">
        <v>46004.294882487506</v>
      </c>
      <c r="F366" s="23" t="s">
        <v>342</v>
      </c>
      <c r="G366" s="23" t="s">
        <v>2628</v>
      </c>
      <c r="H366" s="23" t="s">
        <v>1583</v>
      </c>
      <c r="I366" s="23">
        <v>1.0</v>
      </c>
      <c r="J366" s="23" t="s">
        <v>1867</v>
      </c>
    </row>
    <row r="367" ht="18.0" customHeight="1">
      <c r="A367" s="23" t="s">
        <v>2629</v>
      </c>
      <c r="B367" s="23" t="s">
        <v>571</v>
      </c>
      <c r="C367" s="23" t="s">
        <v>527</v>
      </c>
      <c r="D367" s="23" t="s">
        <v>1869</v>
      </c>
      <c r="E367" s="25">
        <v>46171.03387795971</v>
      </c>
      <c r="F367" s="23" t="s">
        <v>11</v>
      </c>
      <c r="G367" s="23" t="s">
        <v>2630</v>
      </c>
      <c r="H367" s="23" t="s">
        <v>1583</v>
      </c>
      <c r="I367" s="23">
        <v>4.0</v>
      </c>
      <c r="J367" s="23" t="s">
        <v>1871</v>
      </c>
    </row>
    <row r="368" ht="18.0" customHeight="1">
      <c r="A368" s="23" t="s">
        <v>2631</v>
      </c>
      <c r="B368" s="23" t="s">
        <v>577</v>
      </c>
      <c r="C368" s="23" t="s">
        <v>175</v>
      </c>
      <c r="D368" s="23" t="s">
        <v>1902</v>
      </c>
      <c r="E368" s="25">
        <v>45336.4303910858</v>
      </c>
      <c r="F368" s="23" t="s">
        <v>11</v>
      </c>
      <c r="G368" s="23" t="s">
        <v>2632</v>
      </c>
      <c r="H368" s="23" t="s">
        <v>1892</v>
      </c>
      <c r="I368" s="23">
        <v>2.0</v>
      </c>
      <c r="J368" s="23" t="s">
        <v>1904</v>
      </c>
    </row>
    <row r="369" ht="18.0" customHeight="1">
      <c r="A369" s="23" t="s">
        <v>2633</v>
      </c>
      <c r="B369" s="23" t="s">
        <v>577</v>
      </c>
      <c r="C369" s="23" t="s">
        <v>517</v>
      </c>
      <c r="D369" s="23" t="s">
        <v>1864</v>
      </c>
      <c r="E369" s="25">
        <v>45857.70757283806</v>
      </c>
      <c r="F369" s="23" t="s">
        <v>1874</v>
      </c>
      <c r="G369" s="23" t="s">
        <v>2634</v>
      </c>
      <c r="H369" s="23" t="s">
        <v>1583</v>
      </c>
      <c r="I369" s="23">
        <v>1.0</v>
      </c>
      <c r="J369" s="23" t="s">
        <v>1867</v>
      </c>
    </row>
    <row r="370" ht="18.0" customHeight="1">
      <c r="A370" s="23" t="s">
        <v>2635</v>
      </c>
      <c r="B370" s="23" t="s">
        <v>577</v>
      </c>
      <c r="C370" s="23" t="s">
        <v>122</v>
      </c>
      <c r="D370" s="23" t="s">
        <v>1869</v>
      </c>
      <c r="E370" s="25">
        <v>45354.1336043803</v>
      </c>
      <c r="F370" s="23" t="s">
        <v>404</v>
      </c>
      <c r="G370" s="23" t="s">
        <v>2636</v>
      </c>
      <c r="H370" s="23" t="s">
        <v>1583</v>
      </c>
      <c r="I370" s="23">
        <v>4.0</v>
      </c>
      <c r="J370" s="23" t="s">
        <v>1871</v>
      </c>
    </row>
    <row r="371" ht="18.0" customHeight="1">
      <c r="A371" s="23" t="s">
        <v>2637</v>
      </c>
      <c r="B371" s="23" t="s">
        <v>577</v>
      </c>
      <c r="C371" s="23" t="s">
        <v>234</v>
      </c>
      <c r="D371" s="23" t="s">
        <v>1873</v>
      </c>
      <c r="E371" s="25">
        <v>45570.91365107265</v>
      </c>
      <c r="F371" s="23" t="s">
        <v>342</v>
      </c>
      <c r="G371" s="23" t="s">
        <v>2638</v>
      </c>
      <c r="H371" s="23" t="s">
        <v>1866</v>
      </c>
      <c r="I371" s="23">
        <v>3.0</v>
      </c>
      <c r="J371" s="23" t="s">
        <v>1876</v>
      </c>
    </row>
    <row r="372" ht="18.0" customHeight="1">
      <c r="A372" s="23" t="s">
        <v>2639</v>
      </c>
      <c r="B372" s="23" t="s">
        <v>577</v>
      </c>
      <c r="C372" s="23" t="s">
        <v>353</v>
      </c>
      <c r="D372" s="23" t="s">
        <v>1878</v>
      </c>
      <c r="E372" s="25">
        <v>45408.622167628724</v>
      </c>
      <c r="F372" s="23" t="s">
        <v>11</v>
      </c>
      <c r="G372" s="23" t="s">
        <v>2640</v>
      </c>
      <c r="H372" s="23" t="s">
        <v>1583</v>
      </c>
      <c r="I372" s="23">
        <v>3.0</v>
      </c>
      <c r="J372" s="23" t="s">
        <v>1881</v>
      </c>
    </row>
    <row r="373" ht="18.0" customHeight="1">
      <c r="A373" s="23" t="s">
        <v>2641</v>
      </c>
      <c r="B373" s="23" t="s">
        <v>577</v>
      </c>
      <c r="C373" s="23" t="s">
        <v>257</v>
      </c>
      <c r="D373" s="23" t="s">
        <v>1883</v>
      </c>
      <c r="E373" s="25">
        <v>46092.5246001787</v>
      </c>
      <c r="F373" s="23" t="s">
        <v>1874</v>
      </c>
      <c r="G373" s="23" t="s">
        <v>2642</v>
      </c>
      <c r="H373" s="23" t="s">
        <v>1583</v>
      </c>
      <c r="I373" s="23">
        <v>1.0</v>
      </c>
      <c r="J373" s="23" t="s">
        <v>1885</v>
      </c>
    </row>
    <row r="374" ht="18.0" customHeight="1">
      <c r="A374" s="23" t="s">
        <v>2643</v>
      </c>
      <c r="B374" s="23" t="s">
        <v>582</v>
      </c>
      <c r="C374" s="23" t="s">
        <v>175</v>
      </c>
      <c r="D374" s="23" t="s">
        <v>1873</v>
      </c>
      <c r="E374" s="25">
        <v>45420.91593141295</v>
      </c>
      <c r="F374" s="23" t="s">
        <v>1874</v>
      </c>
      <c r="G374" s="23" t="s">
        <v>2644</v>
      </c>
      <c r="H374" s="23" t="s">
        <v>1909</v>
      </c>
      <c r="I374" s="23">
        <v>3.0</v>
      </c>
      <c r="J374" s="23" t="s">
        <v>1876</v>
      </c>
    </row>
    <row r="375" ht="18.0" customHeight="1">
      <c r="A375" s="23" t="s">
        <v>2645</v>
      </c>
      <c r="B375" s="23" t="s">
        <v>582</v>
      </c>
      <c r="C375" s="23" t="s">
        <v>336</v>
      </c>
      <c r="D375" s="23" t="s">
        <v>1878</v>
      </c>
      <c r="E375" s="25">
        <v>45870.540255856</v>
      </c>
      <c r="F375" s="23" t="s">
        <v>404</v>
      </c>
      <c r="G375" s="23" t="s">
        <v>2646</v>
      </c>
      <c r="H375" s="23" t="s">
        <v>1583</v>
      </c>
      <c r="I375" s="23">
        <v>3.0</v>
      </c>
      <c r="J375" s="23" t="s">
        <v>1881</v>
      </c>
    </row>
    <row r="376" ht="18.0" customHeight="1">
      <c r="A376" s="23" t="s">
        <v>2647</v>
      </c>
      <c r="B376" s="23" t="s">
        <v>582</v>
      </c>
      <c r="C376" s="23" t="s">
        <v>311</v>
      </c>
      <c r="D376" s="23" t="s">
        <v>1883</v>
      </c>
      <c r="E376" s="25">
        <v>45966.03660335718</v>
      </c>
      <c r="F376" s="23" t="s">
        <v>342</v>
      </c>
      <c r="G376" s="23" t="s">
        <v>2648</v>
      </c>
      <c r="H376" s="23" t="s">
        <v>1583</v>
      </c>
      <c r="I376" s="23">
        <v>1.0</v>
      </c>
      <c r="J376" s="23" t="s">
        <v>1885</v>
      </c>
    </row>
    <row r="377" ht="18.0" customHeight="1">
      <c r="A377" s="23" t="s">
        <v>2649</v>
      </c>
      <c r="B377" s="23" t="s">
        <v>582</v>
      </c>
      <c r="C377" s="23" t="s">
        <v>320</v>
      </c>
      <c r="D377" s="23" t="s">
        <v>1887</v>
      </c>
      <c r="E377" s="25">
        <v>45604.31930642924</v>
      </c>
      <c r="F377" s="23" t="s">
        <v>11</v>
      </c>
      <c r="G377" s="23" t="s">
        <v>2650</v>
      </c>
      <c r="H377" s="23" t="s">
        <v>1892</v>
      </c>
      <c r="I377" s="23">
        <v>1.0</v>
      </c>
      <c r="J377" s="23" t="s">
        <v>1889</v>
      </c>
    </row>
    <row r="378" ht="18.0" customHeight="1">
      <c r="A378" s="23" t="s">
        <v>2651</v>
      </c>
      <c r="B378" s="23" t="s">
        <v>582</v>
      </c>
      <c r="C378" s="23" t="s">
        <v>507</v>
      </c>
      <c r="D378" s="23" t="s">
        <v>1898</v>
      </c>
      <c r="E378" s="25">
        <v>45964.02827692125</v>
      </c>
      <c r="F378" s="23" t="s">
        <v>1874</v>
      </c>
      <c r="G378" s="23" t="s">
        <v>2652</v>
      </c>
      <c r="H378" s="23" t="s">
        <v>1583</v>
      </c>
      <c r="I378" s="23">
        <v>2.0</v>
      </c>
      <c r="J378" s="23" t="s">
        <v>1900</v>
      </c>
    </row>
    <row r="379" ht="18.0" customHeight="1">
      <c r="A379" s="23" t="s">
        <v>2653</v>
      </c>
      <c r="B379" s="23" t="s">
        <v>582</v>
      </c>
      <c r="C379" s="23" t="s">
        <v>43</v>
      </c>
      <c r="D379" s="23" t="s">
        <v>1902</v>
      </c>
      <c r="E379" s="25">
        <v>45429.56679399242</v>
      </c>
      <c r="F379" s="23" t="s">
        <v>404</v>
      </c>
      <c r="G379" s="23" t="s">
        <v>2654</v>
      </c>
      <c r="H379" s="23" t="s">
        <v>1583</v>
      </c>
      <c r="I379" s="23">
        <v>2.0</v>
      </c>
      <c r="J379" s="23" t="s">
        <v>1904</v>
      </c>
    </row>
    <row r="380" ht="18.0" customHeight="1">
      <c r="A380" s="23" t="s">
        <v>2655</v>
      </c>
      <c r="B380" s="23" t="s">
        <v>588</v>
      </c>
      <c r="C380" s="23" t="s">
        <v>412</v>
      </c>
      <c r="D380" s="23" t="s">
        <v>1887</v>
      </c>
      <c r="E380" s="25">
        <v>45943.97303160513</v>
      </c>
      <c r="F380" s="23" t="s">
        <v>404</v>
      </c>
      <c r="G380" s="23" t="s">
        <v>2656</v>
      </c>
      <c r="H380" s="23" t="s">
        <v>1880</v>
      </c>
      <c r="I380" s="23">
        <v>1.0</v>
      </c>
      <c r="J380" s="23" t="s">
        <v>1889</v>
      </c>
    </row>
    <row r="381" ht="18.0" customHeight="1">
      <c r="A381" s="23" t="s">
        <v>2657</v>
      </c>
      <c r="B381" s="23" t="s">
        <v>588</v>
      </c>
      <c r="C381" s="23" t="s">
        <v>184</v>
      </c>
      <c r="D381" s="23" t="s">
        <v>1898</v>
      </c>
      <c r="E381" s="25">
        <v>45890.97006831202</v>
      </c>
      <c r="F381" s="23" t="s">
        <v>342</v>
      </c>
      <c r="G381" s="23" t="s">
        <v>2658</v>
      </c>
      <c r="H381" s="23" t="s">
        <v>1583</v>
      </c>
      <c r="I381" s="23">
        <v>2.0</v>
      </c>
      <c r="J381" s="23" t="s">
        <v>1900</v>
      </c>
    </row>
    <row r="382" ht="18.0" customHeight="1">
      <c r="A382" s="23" t="s">
        <v>2659</v>
      </c>
      <c r="B382" s="23" t="s">
        <v>588</v>
      </c>
      <c r="C382" s="23" t="s">
        <v>320</v>
      </c>
      <c r="D382" s="23" t="s">
        <v>1902</v>
      </c>
      <c r="E382" s="25">
        <v>45683.665056712925</v>
      </c>
      <c r="F382" s="23" t="s">
        <v>11</v>
      </c>
      <c r="G382" s="23" t="s">
        <v>2660</v>
      </c>
      <c r="H382" s="23" t="s">
        <v>1583</v>
      </c>
      <c r="I382" s="23">
        <v>2.0</v>
      </c>
      <c r="J382" s="23" t="s">
        <v>1904</v>
      </c>
    </row>
    <row r="383" ht="18.0" customHeight="1">
      <c r="A383" s="23" t="s">
        <v>2661</v>
      </c>
      <c r="B383" s="23" t="s">
        <v>588</v>
      </c>
      <c r="C383" s="23" t="s">
        <v>545</v>
      </c>
      <c r="D383" s="23" t="s">
        <v>1864</v>
      </c>
      <c r="E383" s="25">
        <v>45981.77506360621</v>
      </c>
      <c r="F383" s="23" t="s">
        <v>1874</v>
      </c>
      <c r="G383" s="23" t="s">
        <v>2662</v>
      </c>
      <c r="H383" s="23" t="s">
        <v>1909</v>
      </c>
      <c r="I383" s="23">
        <v>1.0</v>
      </c>
      <c r="J383" s="23" t="s">
        <v>1867</v>
      </c>
    </row>
    <row r="384" ht="18.0" customHeight="1">
      <c r="A384" s="23" t="s">
        <v>2663</v>
      </c>
      <c r="B384" s="23" t="s">
        <v>588</v>
      </c>
      <c r="C384" s="23" t="s">
        <v>353</v>
      </c>
      <c r="D384" s="23" t="s">
        <v>1869</v>
      </c>
      <c r="E384" s="25">
        <v>45949.619446137454</v>
      </c>
      <c r="F384" s="23" t="s">
        <v>404</v>
      </c>
      <c r="G384" s="23" t="s">
        <v>2664</v>
      </c>
      <c r="H384" s="23" t="s">
        <v>1583</v>
      </c>
      <c r="I384" s="23">
        <v>4.0</v>
      </c>
      <c r="J384" s="23" t="s">
        <v>1871</v>
      </c>
    </row>
    <row r="385" ht="18.0" customHeight="1">
      <c r="A385" s="23" t="s">
        <v>2665</v>
      </c>
      <c r="B385" s="23" t="s">
        <v>588</v>
      </c>
      <c r="C385" s="23" t="s">
        <v>241</v>
      </c>
      <c r="D385" s="23" t="s">
        <v>1873</v>
      </c>
      <c r="E385" s="25">
        <v>45580.98636987968</v>
      </c>
      <c r="F385" s="23" t="s">
        <v>342</v>
      </c>
      <c r="G385" s="23" t="s">
        <v>2666</v>
      </c>
      <c r="H385" s="23" t="s">
        <v>1583</v>
      </c>
      <c r="I385" s="23">
        <v>3.0</v>
      </c>
      <c r="J385" s="23" t="s">
        <v>1876</v>
      </c>
    </row>
    <row r="386" ht="18.0" customHeight="1">
      <c r="A386" s="23" t="s">
        <v>2667</v>
      </c>
      <c r="B386" s="23" t="s">
        <v>595</v>
      </c>
      <c r="C386" s="23" t="s">
        <v>283</v>
      </c>
      <c r="D386" s="23" t="s">
        <v>1864</v>
      </c>
      <c r="E386" s="25">
        <v>45596.94044443872</v>
      </c>
      <c r="F386" s="23" t="s">
        <v>342</v>
      </c>
      <c r="G386" s="23" t="s">
        <v>2668</v>
      </c>
      <c r="H386" s="23" t="s">
        <v>1866</v>
      </c>
      <c r="I386" s="23">
        <v>1.0</v>
      </c>
      <c r="J386" s="23" t="s">
        <v>1867</v>
      </c>
    </row>
    <row r="387" ht="18.0" customHeight="1">
      <c r="A387" s="23" t="s">
        <v>2669</v>
      </c>
      <c r="B387" s="23" t="s">
        <v>595</v>
      </c>
      <c r="C387" s="23" t="s">
        <v>331</v>
      </c>
      <c r="D387" s="23" t="s">
        <v>1869</v>
      </c>
      <c r="E387" s="25">
        <v>46072.82085955632</v>
      </c>
      <c r="F387" s="23" t="s">
        <v>11</v>
      </c>
      <c r="G387" s="23" t="s">
        <v>2670</v>
      </c>
      <c r="H387" s="23" t="s">
        <v>1583</v>
      </c>
      <c r="I387" s="23">
        <v>4.0</v>
      </c>
      <c r="J387" s="23" t="s">
        <v>1871</v>
      </c>
    </row>
    <row r="388" ht="18.0" customHeight="1">
      <c r="A388" s="23" t="s">
        <v>2671</v>
      </c>
      <c r="B388" s="23" t="s">
        <v>595</v>
      </c>
      <c r="C388" s="23" t="s">
        <v>496</v>
      </c>
      <c r="D388" s="23" t="s">
        <v>1873</v>
      </c>
      <c r="E388" s="25">
        <v>45738.070994802285</v>
      </c>
      <c r="F388" s="23" t="s">
        <v>1874</v>
      </c>
      <c r="G388" s="23" t="s">
        <v>2672</v>
      </c>
      <c r="H388" s="23" t="s">
        <v>1583</v>
      </c>
      <c r="I388" s="23">
        <v>3.0</v>
      </c>
      <c r="J388" s="23" t="s">
        <v>1876</v>
      </c>
    </row>
    <row r="389" ht="18.0" customHeight="1">
      <c r="A389" s="23" t="s">
        <v>2673</v>
      </c>
      <c r="B389" s="23" t="s">
        <v>595</v>
      </c>
      <c r="C389" s="23" t="s">
        <v>122</v>
      </c>
      <c r="D389" s="23" t="s">
        <v>1878</v>
      </c>
      <c r="E389" s="25">
        <v>45720.60810671444</v>
      </c>
      <c r="F389" s="23" t="s">
        <v>404</v>
      </c>
      <c r="G389" s="23" t="s">
        <v>2674</v>
      </c>
      <c r="H389" s="23" t="s">
        <v>1880</v>
      </c>
      <c r="I389" s="23">
        <v>3.0</v>
      </c>
      <c r="J389" s="23" t="s">
        <v>1881</v>
      </c>
    </row>
    <row r="390" ht="18.0" customHeight="1">
      <c r="A390" s="23" t="s">
        <v>2675</v>
      </c>
      <c r="B390" s="23" t="s">
        <v>595</v>
      </c>
      <c r="C390" s="23" t="s">
        <v>353</v>
      </c>
      <c r="D390" s="23" t="s">
        <v>1883</v>
      </c>
      <c r="E390" s="25">
        <v>45879.90344727598</v>
      </c>
      <c r="F390" s="23" t="s">
        <v>342</v>
      </c>
      <c r="G390" s="23" t="s">
        <v>2676</v>
      </c>
      <c r="H390" s="23" t="s">
        <v>1583</v>
      </c>
      <c r="I390" s="23">
        <v>1.0</v>
      </c>
      <c r="J390" s="23" t="s">
        <v>1885</v>
      </c>
    </row>
    <row r="391" ht="18.0" customHeight="1">
      <c r="A391" s="23" t="s">
        <v>2677</v>
      </c>
      <c r="B391" s="23" t="s">
        <v>595</v>
      </c>
      <c r="C391" s="23" t="s">
        <v>241</v>
      </c>
      <c r="D391" s="23" t="s">
        <v>1887</v>
      </c>
      <c r="E391" s="25">
        <v>45353.07400029176</v>
      </c>
      <c r="F391" s="23" t="s">
        <v>11</v>
      </c>
      <c r="G391" s="23" t="s">
        <v>2678</v>
      </c>
      <c r="H391" s="23" t="s">
        <v>1583</v>
      </c>
      <c r="I391" s="23">
        <v>1.0</v>
      </c>
      <c r="J391" s="23" t="s">
        <v>1889</v>
      </c>
    </row>
    <row r="392" ht="18.0" customHeight="1">
      <c r="A392" s="23" t="s">
        <v>2679</v>
      </c>
      <c r="B392" s="23" t="s">
        <v>600</v>
      </c>
      <c r="C392" s="23" t="s">
        <v>112</v>
      </c>
      <c r="D392" s="23" t="s">
        <v>1878</v>
      </c>
      <c r="E392" s="25">
        <v>45393.962730995845</v>
      </c>
      <c r="F392" s="23" t="s">
        <v>11</v>
      </c>
      <c r="G392" s="23" t="s">
        <v>2680</v>
      </c>
      <c r="H392" s="23" t="s">
        <v>1892</v>
      </c>
      <c r="I392" s="23">
        <v>3.0</v>
      </c>
      <c r="J392" s="23" t="s">
        <v>1881</v>
      </c>
    </row>
    <row r="393" ht="18.0" customHeight="1">
      <c r="A393" s="23" t="s">
        <v>2681</v>
      </c>
      <c r="B393" s="23" t="s">
        <v>600</v>
      </c>
      <c r="C393" s="23" t="s">
        <v>234</v>
      </c>
      <c r="D393" s="23" t="s">
        <v>1883</v>
      </c>
      <c r="E393" s="25">
        <v>45593.92930418975</v>
      </c>
      <c r="F393" s="23" t="s">
        <v>1874</v>
      </c>
      <c r="G393" s="23" t="s">
        <v>2682</v>
      </c>
      <c r="H393" s="23" t="s">
        <v>1583</v>
      </c>
      <c r="I393" s="23">
        <v>1.0</v>
      </c>
      <c r="J393" s="23" t="s">
        <v>1885</v>
      </c>
    </row>
    <row r="394" ht="18.0" customHeight="1">
      <c r="A394" s="23" t="s">
        <v>2683</v>
      </c>
      <c r="B394" s="23" t="s">
        <v>600</v>
      </c>
      <c r="C394" s="23" t="s">
        <v>210</v>
      </c>
      <c r="D394" s="23" t="s">
        <v>1887</v>
      </c>
      <c r="E394" s="25">
        <v>45602.69067692477</v>
      </c>
      <c r="F394" s="23" t="s">
        <v>404</v>
      </c>
      <c r="G394" s="23" t="s">
        <v>2684</v>
      </c>
      <c r="H394" s="23" t="s">
        <v>1583</v>
      </c>
      <c r="I394" s="23">
        <v>1.0</v>
      </c>
      <c r="J394" s="23" t="s">
        <v>1889</v>
      </c>
    </row>
    <row r="395" ht="18.0" customHeight="1">
      <c r="A395" s="23" t="s">
        <v>2685</v>
      </c>
      <c r="B395" s="23" t="s">
        <v>600</v>
      </c>
      <c r="C395" s="23" t="s">
        <v>353</v>
      </c>
      <c r="D395" s="23" t="s">
        <v>1898</v>
      </c>
      <c r="E395" s="25">
        <v>45396.47495626961</v>
      </c>
      <c r="F395" s="23" t="s">
        <v>342</v>
      </c>
      <c r="G395" s="23" t="s">
        <v>2686</v>
      </c>
      <c r="H395" s="23" t="s">
        <v>1866</v>
      </c>
      <c r="I395" s="23">
        <v>2.0</v>
      </c>
      <c r="J395" s="23" t="s">
        <v>1900</v>
      </c>
    </row>
    <row r="396" ht="18.0" customHeight="1">
      <c r="A396" s="23" t="s">
        <v>2687</v>
      </c>
      <c r="B396" s="23" t="s">
        <v>600</v>
      </c>
      <c r="C396" s="23" t="s">
        <v>189</v>
      </c>
      <c r="D396" s="23" t="s">
        <v>1902</v>
      </c>
      <c r="E396" s="25">
        <v>45401.0759979398</v>
      </c>
      <c r="F396" s="23" t="s">
        <v>11</v>
      </c>
      <c r="G396" s="23" t="s">
        <v>2688</v>
      </c>
      <c r="H396" s="23" t="s">
        <v>1583</v>
      </c>
      <c r="I396" s="23">
        <v>2.0</v>
      </c>
      <c r="J396" s="23" t="s">
        <v>1904</v>
      </c>
    </row>
    <row r="397" ht="18.0" customHeight="1">
      <c r="A397" s="23" t="s">
        <v>2689</v>
      </c>
      <c r="B397" s="23" t="s">
        <v>600</v>
      </c>
      <c r="C397" s="23" t="s">
        <v>234</v>
      </c>
      <c r="D397" s="23" t="s">
        <v>1864</v>
      </c>
      <c r="E397" s="25">
        <v>45539.59312479454</v>
      </c>
      <c r="F397" s="23" t="s">
        <v>1874</v>
      </c>
      <c r="G397" s="23" t="s">
        <v>2690</v>
      </c>
      <c r="H397" s="23" t="s">
        <v>1583</v>
      </c>
      <c r="I397" s="23">
        <v>1.0</v>
      </c>
      <c r="J397" s="23" t="s">
        <v>1867</v>
      </c>
    </row>
    <row r="398" ht="18.0" customHeight="1">
      <c r="A398" s="23" t="s">
        <v>2691</v>
      </c>
      <c r="B398" s="23" t="s">
        <v>607</v>
      </c>
      <c r="C398" s="23" t="s">
        <v>112</v>
      </c>
      <c r="D398" s="23" t="s">
        <v>1898</v>
      </c>
      <c r="E398" s="25">
        <v>45771.30119091645</v>
      </c>
      <c r="F398" s="23" t="s">
        <v>1874</v>
      </c>
      <c r="G398" s="23" t="s">
        <v>2692</v>
      </c>
      <c r="H398" s="23" t="s">
        <v>1909</v>
      </c>
      <c r="I398" s="23">
        <v>2.0</v>
      </c>
      <c r="J398" s="23" t="s">
        <v>1900</v>
      </c>
    </row>
    <row r="399" ht="18.0" customHeight="1">
      <c r="A399" s="23" t="s">
        <v>2693</v>
      </c>
      <c r="B399" s="23" t="s">
        <v>607</v>
      </c>
      <c r="C399" s="23" t="s">
        <v>264</v>
      </c>
      <c r="D399" s="23" t="s">
        <v>1902</v>
      </c>
      <c r="E399" s="25">
        <v>45987.57995493547</v>
      </c>
      <c r="F399" s="23" t="s">
        <v>404</v>
      </c>
      <c r="G399" s="23" t="s">
        <v>2694</v>
      </c>
      <c r="H399" s="23" t="s">
        <v>1583</v>
      </c>
      <c r="I399" s="23">
        <v>2.0</v>
      </c>
      <c r="J399" s="23" t="s">
        <v>1904</v>
      </c>
    </row>
    <row r="400" ht="18.0" customHeight="1">
      <c r="A400" s="23" t="s">
        <v>2695</v>
      </c>
      <c r="B400" s="23" t="s">
        <v>607</v>
      </c>
      <c r="C400" s="23" t="s">
        <v>147</v>
      </c>
      <c r="D400" s="23" t="s">
        <v>1864</v>
      </c>
      <c r="E400" s="25">
        <v>45666.527820771094</v>
      </c>
      <c r="F400" s="23" t="s">
        <v>342</v>
      </c>
      <c r="G400" s="23" t="s">
        <v>2696</v>
      </c>
      <c r="H400" s="23" t="s">
        <v>1583</v>
      </c>
      <c r="I400" s="23">
        <v>1.0</v>
      </c>
      <c r="J400" s="23" t="s">
        <v>1867</v>
      </c>
    </row>
    <row r="401" ht="18.0" customHeight="1">
      <c r="A401" s="23" t="s">
        <v>2697</v>
      </c>
      <c r="B401" s="23" t="s">
        <v>607</v>
      </c>
      <c r="C401" s="23" t="s">
        <v>507</v>
      </c>
      <c r="D401" s="23" t="s">
        <v>1869</v>
      </c>
      <c r="E401" s="25">
        <v>45633.855039519956</v>
      </c>
      <c r="F401" s="23" t="s">
        <v>11</v>
      </c>
      <c r="G401" s="23" t="s">
        <v>2698</v>
      </c>
      <c r="H401" s="23" t="s">
        <v>1892</v>
      </c>
      <c r="I401" s="23">
        <v>4.0</v>
      </c>
      <c r="J401" s="23" t="s">
        <v>1871</v>
      </c>
    </row>
    <row r="402" ht="18.0" customHeight="1">
      <c r="A402" s="23" t="s">
        <v>2699</v>
      </c>
      <c r="B402" s="23" t="s">
        <v>607</v>
      </c>
      <c r="C402" s="23" t="s">
        <v>175</v>
      </c>
      <c r="D402" s="23" t="s">
        <v>1873</v>
      </c>
      <c r="E402" s="25">
        <v>46065.72777923476</v>
      </c>
      <c r="F402" s="23" t="s">
        <v>1874</v>
      </c>
      <c r="G402" s="23" t="s">
        <v>2700</v>
      </c>
      <c r="H402" s="23" t="s">
        <v>1583</v>
      </c>
      <c r="I402" s="23">
        <v>3.0</v>
      </c>
      <c r="J402" s="23" t="s">
        <v>1876</v>
      </c>
    </row>
    <row r="403" ht="18.0" customHeight="1">
      <c r="A403" s="23" t="s">
        <v>2701</v>
      </c>
      <c r="B403" s="23" t="s">
        <v>607</v>
      </c>
      <c r="C403" s="23" t="s">
        <v>331</v>
      </c>
      <c r="D403" s="23" t="s">
        <v>1878</v>
      </c>
      <c r="E403" s="25">
        <v>45356.21643726644</v>
      </c>
      <c r="F403" s="23" t="s">
        <v>404</v>
      </c>
      <c r="G403" s="23" t="s">
        <v>2702</v>
      </c>
      <c r="H403" s="23" t="s">
        <v>1583</v>
      </c>
      <c r="I403" s="23">
        <v>3.0</v>
      </c>
      <c r="J403" s="23" t="s">
        <v>1881</v>
      </c>
    </row>
    <row r="404" ht="18.0" customHeight="1">
      <c r="A404" s="23" t="s">
        <v>2703</v>
      </c>
      <c r="B404" s="23" t="s">
        <v>612</v>
      </c>
      <c r="C404" s="23" t="s">
        <v>241</v>
      </c>
      <c r="D404" s="23" t="s">
        <v>1869</v>
      </c>
      <c r="E404" s="25">
        <v>45586.402681444306</v>
      </c>
      <c r="F404" s="23" t="s">
        <v>404</v>
      </c>
      <c r="G404" s="23" t="s">
        <v>2704</v>
      </c>
      <c r="H404" s="23" t="s">
        <v>1880</v>
      </c>
      <c r="I404" s="23">
        <v>4.0</v>
      </c>
      <c r="J404" s="23" t="s">
        <v>1871</v>
      </c>
    </row>
    <row r="405" ht="18.0" customHeight="1">
      <c r="A405" s="23" t="s">
        <v>2705</v>
      </c>
      <c r="B405" s="23" t="s">
        <v>612</v>
      </c>
      <c r="C405" s="23" t="s">
        <v>112</v>
      </c>
      <c r="D405" s="23" t="s">
        <v>1873</v>
      </c>
      <c r="E405" s="25">
        <v>45985.061038308544</v>
      </c>
      <c r="F405" s="23" t="s">
        <v>342</v>
      </c>
      <c r="G405" s="23" t="s">
        <v>2706</v>
      </c>
      <c r="H405" s="23" t="s">
        <v>1583</v>
      </c>
      <c r="I405" s="23">
        <v>3.0</v>
      </c>
      <c r="J405" s="23" t="s">
        <v>1876</v>
      </c>
    </row>
    <row r="406" ht="18.0" customHeight="1">
      <c r="A406" s="23" t="s">
        <v>2707</v>
      </c>
      <c r="B406" s="23" t="s">
        <v>612</v>
      </c>
      <c r="C406" s="23" t="s">
        <v>122</v>
      </c>
      <c r="D406" s="23" t="s">
        <v>1878</v>
      </c>
      <c r="E406" s="25">
        <v>45414.42907124944</v>
      </c>
      <c r="F406" s="23" t="s">
        <v>11</v>
      </c>
      <c r="G406" s="23" t="s">
        <v>2708</v>
      </c>
      <c r="H406" s="23" t="s">
        <v>1583</v>
      </c>
      <c r="I406" s="23">
        <v>3.0</v>
      </c>
      <c r="J406" s="23" t="s">
        <v>1881</v>
      </c>
    </row>
    <row r="407" ht="18.0" customHeight="1">
      <c r="A407" s="23" t="s">
        <v>2709</v>
      </c>
      <c r="B407" s="23" t="s">
        <v>612</v>
      </c>
      <c r="C407" s="23" t="s">
        <v>527</v>
      </c>
      <c r="D407" s="23" t="s">
        <v>1883</v>
      </c>
      <c r="E407" s="25">
        <v>45614.42074087658</v>
      </c>
      <c r="F407" s="23" t="s">
        <v>1874</v>
      </c>
      <c r="G407" s="23" t="s">
        <v>2711</v>
      </c>
      <c r="H407" s="23" t="s">
        <v>1909</v>
      </c>
      <c r="I407" s="23">
        <v>1.0</v>
      </c>
      <c r="J407" s="23" t="s">
        <v>1885</v>
      </c>
    </row>
    <row r="408" ht="18.0" customHeight="1">
      <c r="A408" s="23" t="s">
        <v>2714</v>
      </c>
      <c r="B408" s="23" t="s">
        <v>612</v>
      </c>
      <c r="C408" s="23" t="s">
        <v>222</v>
      </c>
      <c r="D408" s="23" t="s">
        <v>1887</v>
      </c>
      <c r="E408" s="25">
        <v>45709.93605144648</v>
      </c>
      <c r="F408" s="23" t="s">
        <v>404</v>
      </c>
      <c r="G408" s="23" t="s">
        <v>2716</v>
      </c>
      <c r="H408" s="23" t="s">
        <v>1583</v>
      </c>
      <c r="I408" s="23">
        <v>1.0</v>
      </c>
      <c r="J408" s="23" t="s">
        <v>1889</v>
      </c>
    </row>
    <row r="409" ht="18.0" customHeight="1">
      <c r="A409" s="23" t="s">
        <v>2721</v>
      </c>
      <c r="B409" s="23" t="s">
        <v>612</v>
      </c>
      <c r="C409" s="23" t="s">
        <v>412</v>
      </c>
      <c r="D409" s="23" t="s">
        <v>1898</v>
      </c>
      <c r="E409" s="25">
        <v>45429.83775456599</v>
      </c>
      <c r="F409" s="23" t="s">
        <v>342</v>
      </c>
      <c r="G409" s="23" t="s">
        <v>2723</v>
      </c>
      <c r="H409" s="23" t="s">
        <v>1583</v>
      </c>
      <c r="I409" s="23">
        <v>2.0</v>
      </c>
      <c r="J409" s="23" t="s">
        <v>1900</v>
      </c>
    </row>
    <row r="410" ht="18.0" customHeight="1">
      <c r="A410" s="23" t="s">
        <v>2724</v>
      </c>
      <c r="B410" s="23" t="s">
        <v>620</v>
      </c>
      <c r="C410" s="23" t="s">
        <v>311</v>
      </c>
      <c r="D410" s="23" t="s">
        <v>1883</v>
      </c>
      <c r="E410" s="25">
        <v>45676.37683796231</v>
      </c>
      <c r="F410" s="23" t="s">
        <v>342</v>
      </c>
      <c r="G410" s="23" t="s">
        <v>2725</v>
      </c>
      <c r="H410" s="23" t="s">
        <v>1866</v>
      </c>
      <c r="I410" s="23">
        <v>1.0</v>
      </c>
      <c r="J410" s="23" t="s">
        <v>1885</v>
      </c>
    </row>
    <row r="411" ht="18.0" customHeight="1">
      <c r="A411" s="23" t="s">
        <v>2726</v>
      </c>
      <c r="B411" s="23" t="s">
        <v>620</v>
      </c>
      <c r="C411" s="23" t="s">
        <v>465</v>
      </c>
      <c r="D411" s="23" t="s">
        <v>1887</v>
      </c>
      <c r="E411" s="25">
        <v>45373.57988468488</v>
      </c>
      <c r="F411" s="23" t="s">
        <v>11</v>
      </c>
      <c r="G411" s="23" t="s">
        <v>2727</v>
      </c>
      <c r="H411" s="23" t="s">
        <v>1583</v>
      </c>
      <c r="I411" s="23">
        <v>1.0</v>
      </c>
      <c r="J411" s="23" t="s">
        <v>1889</v>
      </c>
    </row>
    <row r="412" ht="18.0" customHeight="1">
      <c r="A412" s="23" t="s">
        <v>2728</v>
      </c>
      <c r="B412" s="23" t="s">
        <v>620</v>
      </c>
      <c r="C412" s="23" t="s">
        <v>281</v>
      </c>
      <c r="D412" s="23" t="s">
        <v>1898</v>
      </c>
      <c r="E412" s="25">
        <v>46129.60905732447</v>
      </c>
      <c r="F412" s="23" t="s">
        <v>1874</v>
      </c>
      <c r="G412" s="23" t="s">
        <v>2729</v>
      </c>
      <c r="H412" s="23" t="s">
        <v>1583</v>
      </c>
      <c r="I412" s="23">
        <v>2.0</v>
      </c>
      <c r="J412" s="23" t="s">
        <v>1900</v>
      </c>
    </row>
    <row r="413" ht="18.0" customHeight="1">
      <c r="A413" s="23" t="s">
        <v>2730</v>
      </c>
      <c r="B413" s="23" t="s">
        <v>620</v>
      </c>
      <c r="C413" s="23" t="s">
        <v>424</v>
      </c>
      <c r="D413" s="23" t="s">
        <v>1902</v>
      </c>
      <c r="E413" s="25">
        <v>45758.54137873533</v>
      </c>
      <c r="F413" s="23" t="s">
        <v>404</v>
      </c>
      <c r="G413" s="23" t="s">
        <v>2731</v>
      </c>
      <c r="H413" s="23" t="s">
        <v>1880</v>
      </c>
      <c r="I413" s="23">
        <v>2.0</v>
      </c>
      <c r="J413" s="23" t="s">
        <v>1904</v>
      </c>
    </row>
    <row r="414" ht="18.0" customHeight="1">
      <c r="A414" s="23" t="s">
        <v>2732</v>
      </c>
      <c r="B414" s="23" t="s">
        <v>620</v>
      </c>
      <c r="C414" s="23" t="s">
        <v>281</v>
      </c>
      <c r="D414" s="23" t="s">
        <v>1864</v>
      </c>
      <c r="E414" s="25">
        <v>45752.16286456585</v>
      </c>
      <c r="F414" s="23" t="s">
        <v>342</v>
      </c>
      <c r="G414" s="23" t="s">
        <v>2733</v>
      </c>
      <c r="H414" s="23" t="s">
        <v>1583</v>
      </c>
      <c r="I414" s="23">
        <v>1.0</v>
      </c>
      <c r="J414" s="23" t="s">
        <v>1867</v>
      </c>
    </row>
    <row r="415" ht="18.0" customHeight="1">
      <c r="A415" s="23" t="s">
        <v>2734</v>
      </c>
      <c r="B415" s="23" t="s">
        <v>620</v>
      </c>
      <c r="C415" s="23" t="s">
        <v>545</v>
      </c>
      <c r="D415" s="23" t="s">
        <v>1869</v>
      </c>
      <c r="E415" s="25">
        <v>45432.949330145726</v>
      </c>
      <c r="F415" s="23" t="s">
        <v>11</v>
      </c>
      <c r="G415" s="23" t="s">
        <v>2735</v>
      </c>
      <c r="H415" s="23" t="s">
        <v>1583</v>
      </c>
      <c r="I415" s="23">
        <v>4.0</v>
      </c>
      <c r="J415" s="23" t="s">
        <v>1871</v>
      </c>
    </row>
    <row r="416" ht="18.0" customHeight="1">
      <c r="A416" s="23" t="s">
        <v>2736</v>
      </c>
      <c r="B416" s="23" t="s">
        <v>626</v>
      </c>
      <c r="C416" s="23" t="s">
        <v>80</v>
      </c>
      <c r="D416" s="23" t="s">
        <v>1902</v>
      </c>
      <c r="E416" s="25">
        <v>45381.763654024806</v>
      </c>
      <c r="F416" s="23" t="s">
        <v>11</v>
      </c>
      <c r="G416" s="23" t="s">
        <v>2737</v>
      </c>
      <c r="H416" s="23" t="s">
        <v>1892</v>
      </c>
      <c r="I416" s="23">
        <v>2.0</v>
      </c>
      <c r="J416" s="23" t="s">
        <v>1904</v>
      </c>
    </row>
    <row r="417" ht="18.0" customHeight="1">
      <c r="A417" s="23" t="s">
        <v>2738</v>
      </c>
      <c r="B417" s="23" t="s">
        <v>626</v>
      </c>
      <c r="C417" s="23" t="s">
        <v>43</v>
      </c>
      <c r="D417" s="23" t="s">
        <v>1864</v>
      </c>
      <c r="E417" s="25">
        <v>45705.76223593368</v>
      </c>
      <c r="F417" s="23" t="s">
        <v>1874</v>
      </c>
      <c r="G417" s="23" t="s">
        <v>2739</v>
      </c>
      <c r="H417" s="23" t="s">
        <v>1583</v>
      </c>
      <c r="I417" s="23">
        <v>1.0</v>
      </c>
      <c r="J417" s="23" t="s">
        <v>1867</v>
      </c>
    </row>
    <row r="418" ht="18.0" customHeight="1">
      <c r="A418" s="23" t="s">
        <v>2740</v>
      </c>
      <c r="B418" s="23" t="s">
        <v>626</v>
      </c>
      <c r="C418" s="23" t="s">
        <v>136</v>
      </c>
      <c r="D418" s="23" t="s">
        <v>1869</v>
      </c>
      <c r="E418" s="25">
        <v>45388.899768314324</v>
      </c>
      <c r="F418" s="23" t="s">
        <v>404</v>
      </c>
      <c r="G418" s="23" t="s">
        <v>2741</v>
      </c>
      <c r="H418" s="23" t="s">
        <v>1583</v>
      </c>
      <c r="I418" s="23">
        <v>4.0</v>
      </c>
      <c r="J418" s="23" t="s">
        <v>1871</v>
      </c>
    </row>
    <row r="419" ht="18.0" customHeight="1">
      <c r="A419" s="23" t="s">
        <v>2742</v>
      </c>
      <c r="B419" s="23" t="s">
        <v>626</v>
      </c>
      <c r="C419" s="23" t="s">
        <v>210</v>
      </c>
      <c r="D419" s="23" t="s">
        <v>1873</v>
      </c>
      <c r="E419" s="25">
        <v>45346.968594041886</v>
      </c>
      <c r="F419" s="23" t="s">
        <v>342</v>
      </c>
      <c r="G419" s="23" t="s">
        <v>2743</v>
      </c>
      <c r="H419" s="23" t="s">
        <v>1866</v>
      </c>
      <c r="I419" s="23">
        <v>3.0</v>
      </c>
      <c r="J419" s="23" t="s">
        <v>1876</v>
      </c>
    </row>
    <row r="420" ht="18.0" customHeight="1">
      <c r="A420" s="23" t="s">
        <v>2744</v>
      </c>
      <c r="B420" s="23" t="s">
        <v>626</v>
      </c>
      <c r="C420" s="23" t="s">
        <v>234</v>
      </c>
      <c r="D420" s="23" t="s">
        <v>1878</v>
      </c>
      <c r="E420" s="25">
        <v>45701.597681046</v>
      </c>
      <c r="F420" s="23" t="s">
        <v>11</v>
      </c>
      <c r="G420" s="23" t="s">
        <v>2745</v>
      </c>
      <c r="H420" s="23" t="s">
        <v>1583</v>
      </c>
      <c r="I420" s="23">
        <v>3.0</v>
      </c>
      <c r="J420" s="23" t="s">
        <v>1881</v>
      </c>
    </row>
    <row r="421" ht="18.0" customHeight="1">
      <c r="A421" s="23" t="s">
        <v>2746</v>
      </c>
      <c r="B421" s="23" t="s">
        <v>626</v>
      </c>
      <c r="C421" s="23" t="s">
        <v>331</v>
      </c>
      <c r="D421" s="23" t="s">
        <v>1883</v>
      </c>
      <c r="E421" s="25">
        <v>45340.93190265144</v>
      </c>
      <c r="F421" s="23" t="s">
        <v>1874</v>
      </c>
      <c r="G421" s="23" t="s">
        <v>2747</v>
      </c>
      <c r="H421" s="23" t="s">
        <v>1583</v>
      </c>
      <c r="I421" s="23">
        <v>1.0</v>
      </c>
      <c r="J421" s="23" t="s">
        <v>1885</v>
      </c>
    </row>
    <row r="422" ht="18.0" customHeight="1">
      <c r="A422" s="23" t="s">
        <v>2748</v>
      </c>
      <c r="B422" s="23" t="s">
        <v>632</v>
      </c>
      <c r="C422" s="23" t="s">
        <v>234</v>
      </c>
      <c r="D422" s="23" t="s">
        <v>1873</v>
      </c>
      <c r="E422" s="25">
        <v>45561.90013670735</v>
      </c>
      <c r="F422" s="23" t="s">
        <v>1874</v>
      </c>
      <c r="G422" s="23" t="s">
        <v>2749</v>
      </c>
      <c r="H422" s="23" t="s">
        <v>1909</v>
      </c>
      <c r="I422" s="23">
        <v>3.0</v>
      </c>
      <c r="J422" s="23" t="s">
        <v>1876</v>
      </c>
    </row>
    <row r="423" ht="18.0" customHeight="1">
      <c r="A423" s="23" t="s">
        <v>2750</v>
      </c>
      <c r="B423" s="23" t="s">
        <v>632</v>
      </c>
      <c r="C423" s="23" t="s">
        <v>496</v>
      </c>
      <c r="D423" s="23" t="s">
        <v>1878</v>
      </c>
      <c r="E423" s="25">
        <v>46055.046587839955</v>
      </c>
      <c r="F423" s="23" t="s">
        <v>404</v>
      </c>
      <c r="G423" s="23" t="s">
        <v>2751</v>
      </c>
      <c r="H423" s="23" t="s">
        <v>1583</v>
      </c>
      <c r="I423" s="23">
        <v>3.0</v>
      </c>
      <c r="J423" s="23" t="s">
        <v>1881</v>
      </c>
    </row>
    <row r="424" ht="18.0" customHeight="1">
      <c r="A424" s="23" t="s">
        <v>2752</v>
      </c>
      <c r="B424" s="23" t="s">
        <v>632</v>
      </c>
      <c r="C424" s="23" t="s">
        <v>376</v>
      </c>
      <c r="D424" s="23" t="s">
        <v>1883</v>
      </c>
      <c r="E424" s="25">
        <v>45614.649176403414</v>
      </c>
      <c r="F424" s="23" t="s">
        <v>342</v>
      </c>
      <c r="G424" s="23" t="s">
        <v>2753</v>
      </c>
      <c r="H424" s="23" t="s">
        <v>1583</v>
      </c>
      <c r="I424" s="23">
        <v>1.0</v>
      </c>
      <c r="J424" s="23" t="s">
        <v>1885</v>
      </c>
    </row>
    <row r="425" ht="18.0" customHeight="1">
      <c r="A425" s="23" t="s">
        <v>2754</v>
      </c>
      <c r="B425" s="23" t="s">
        <v>632</v>
      </c>
      <c r="C425" s="23" t="s">
        <v>241</v>
      </c>
      <c r="D425" s="23" t="s">
        <v>1887</v>
      </c>
      <c r="E425" s="25">
        <v>45524.329737514025</v>
      </c>
      <c r="F425" s="23" t="s">
        <v>11</v>
      </c>
      <c r="G425" s="23" t="s">
        <v>2755</v>
      </c>
      <c r="H425" s="23" t="s">
        <v>1892</v>
      </c>
      <c r="I425" s="23">
        <v>1.0</v>
      </c>
      <c r="J425" s="23" t="s">
        <v>1889</v>
      </c>
    </row>
    <row r="426" ht="18.0" customHeight="1">
      <c r="A426" s="23" t="s">
        <v>2756</v>
      </c>
      <c r="B426" s="23" t="s">
        <v>632</v>
      </c>
      <c r="C426" s="23" t="s">
        <v>242</v>
      </c>
      <c r="D426" s="23" t="s">
        <v>1898</v>
      </c>
      <c r="E426" s="25">
        <v>45612.368360986</v>
      </c>
      <c r="F426" s="23" t="s">
        <v>1874</v>
      </c>
      <c r="G426" s="23" t="s">
        <v>2757</v>
      </c>
      <c r="H426" s="23" t="s">
        <v>1583</v>
      </c>
      <c r="I426" s="23">
        <v>2.0</v>
      </c>
      <c r="J426" s="23" t="s">
        <v>1900</v>
      </c>
    </row>
    <row r="427" ht="18.0" customHeight="1">
      <c r="A427" s="23" t="s">
        <v>2758</v>
      </c>
      <c r="B427" s="23" t="s">
        <v>632</v>
      </c>
      <c r="C427" s="23" t="s">
        <v>283</v>
      </c>
      <c r="D427" s="23" t="s">
        <v>1902</v>
      </c>
      <c r="E427" s="25">
        <v>46155.73855860834</v>
      </c>
      <c r="F427" s="23" t="s">
        <v>404</v>
      </c>
      <c r="G427" s="23" t="s">
        <v>2759</v>
      </c>
      <c r="H427" s="23" t="s">
        <v>1583</v>
      </c>
      <c r="I427" s="23">
        <v>2.0</v>
      </c>
      <c r="J427" s="23" t="s">
        <v>1904</v>
      </c>
    </row>
    <row r="428" ht="18.0" customHeight="1">
      <c r="A428" s="23" t="s">
        <v>2760</v>
      </c>
      <c r="B428" s="23" t="s">
        <v>638</v>
      </c>
      <c r="C428" s="23" t="s">
        <v>234</v>
      </c>
      <c r="D428" s="23" t="s">
        <v>1887</v>
      </c>
      <c r="E428" s="25">
        <v>45714.12932340661</v>
      </c>
      <c r="F428" s="23" t="s">
        <v>404</v>
      </c>
      <c r="G428" s="23" t="s">
        <v>2761</v>
      </c>
      <c r="H428" s="23" t="s">
        <v>1880</v>
      </c>
      <c r="I428" s="23">
        <v>1.0</v>
      </c>
      <c r="J428" s="23" t="s">
        <v>1889</v>
      </c>
    </row>
    <row r="429" ht="18.0" customHeight="1">
      <c r="A429" s="23" t="s">
        <v>2762</v>
      </c>
      <c r="B429" s="23" t="s">
        <v>638</v>
      </c>
      <c r="C429" s="23" t="s">
        <v>336</v>
      </c>
      <c r="D429" s="23" t="s">
        <v>1898</v>
      </c>
      <c r="E429" s="25">
        <v>45888.03570110607</v>
      </c>
      <c r="F429" s="23" t="s">
        <v>342</v>
      </c>
      <c r="G429" s="23" t="s">
        <v>2763</v>
      </c>
      <c r="H429" s="23" t="s">
        <v>1583</v>
      </c>
      <c r="I429" s="23">
        <v>2.0</v>
      </c>
      <c r="J429" s="23" t="s">
        <v>1900</v>
      </c>
    </row>
    <row r="430" ht="18.0" customHeight="1">
      <c r="A430" s="23" t="s">
        <v>2764</v>
      </c>
      <c r="B430" s="23" t="s">
        <v>638</v>
      </c>
      <c r="C430" s="23" t="s">
        <v>198</v>
      </c>
      <c r="D430" s="23" t="s">
        <v>1902</v>
      </c>
      <c r="E430" s="25">
        <v>45885.5895399414</v>
      </c>
      <c r="F430" s="23" t="s">
        <v>11</v>
      </c>
      <c r="G430" s="23" t="s">
        <v>2765</v>
      </c>
      <c r="H430" s="23" t="s">
        <v>1583</v>
      </c>
      <c r="I430" s="23">
        <v>2.0</v>
      </c>
      <c r="J430" s="23" t="s">
        <v>1904</v>
      </c>
    </row>
    <row r="431" ht="18.0" customHeight="1">
      <c r="A431" s="23" t="s">
        <v>2766</v>
      </c>
      <c r="B431" s="23" t="s">
        <v>638</v>
      </c>
      <c r="C431" s="23" t="s">
        <v>80</v>
      </c>
      <c r="D431" s="23" t="s">
        <v>1864</v>
      </c>
      <c r="E431" s="25">
        <v>45604.48650649772</v>
      </c>
      <c r="F431" s="23" t="s">
        <v>1874</v>
      </c>
      <c r="G431" s="23" t="s">
        <v>2767</v>
      </c>
      <c r="H431" s="23" t="s">
        <v>1909</v>
      </c>
      <c r="I431" s="23">
        <v>1.0</v>
      </c>
      <c r="J431" s="23" t="s">
        <v>1867</v>
      </c>
    </row>
    <row r="432" ht="18.0" customHeight="1">
      <c r="A432" s="23" t="s">
        <v>2768</v>
      </c>
      <c r="B432" s="23" t="s">
        <v>638</v>
      </c>
      <c r="C432" s="23" t="s">
        <v>147</v>
      </c>
      <c r="D432" s="23" t="s">
        <v>1869</v>
      </c>
      <c r="E432" s="25">
        <v>45362.713405249175</v>
      </c>
      <c r="F432" s="23" t="s">
        <v>404</v>
      </c>
      <c r="G432" s="23" t="s">
        <v>2769</v>
      </c>
      <c r="H432" s="23" t="s">
        <v>1583</v>
      </c>
      <c r="I432" s="23">
        <v>4.0</v>
      </c>
      <c r="J432" s="23" t="s">
        <v>1871</v>
      </c>
    </row>
    <row r="433" ht="18.0" customHeight="1">
      <c r="A433" s="23" t="s">
        <v>2770</v>
      </c>
      <c r="B433" s="23" t="s">
        <v>638</v>
      </c>
      <c r="C433" s="23" t="s">
        <v>376</v>
      </c>
      <c r="D433" s="23" t="s">
        <v>1873</v>
      </c>
      <c r="E433" s="25">
        <v>45984.626339858165</v>
      </c>
      <c r="F433" s="23" t="s">
        <v>342</v>
      </c>
      <c r="G433" s="23" t="s">
        <v>2771</v>
      </c>
      <c r="H433" s="23" t="s">
        <v>1583</v>
      </c>
      <c r="I433" s="23">
        <v>3.0</v>
      </c>
      <c r="J433" s="23" t="s">
        <v>1876</v>
      </c>
    </row>
    <row r="434" ht="18.0" customHeight="1">
      <c r="A434" s="23" t="s">
        <v>2772</v>
      </c>
      <c r="B434" s="23" t="s">
        <v>644</v>
      </c>
      <c r="C434" s="23" t="s">
        <v>296</v>
      </c>
      <c r="D434" s="23" t="s">
        <v>1864</v>
      </c>
      <c r="E434" s="25">
        <v>45341.34982903581</v>
      </c>
      <c r="F434" s="23" t="s">
        <v>342</v>
      </c>
      <c r="G434" s="23" t="s">
        <v>2773</v>
      </c>
      <c r="H434" s="23" t="s">
        <v>1866</v>
      </c>
      <c r="I434" s="23">
        <v>1.0</v>
      </c>
      <c r="J434" s="23" t="s">
        <v>1867</v>
      </c>
    </row>
    <row r="435" ht="18.0" customHeight="1">
      <c r="A435" s="23" t="s">
        <v>2774</v>
      </c>
      <c r="B435" s="23" t="s">
        <v>644</v>
      </c>
      <c r="C435" s="23" t="s">
        <v>311</v>
      </c>
      <c r="D435" s="23" t="s">
        <v>1869</v>
      </c>
      <c r="E435" s="25">
        <v>45812.34495378402</v>
      </c>
      <c r="F435" s="23" t="s">
        <v>11</v>
      </c>
      <c r="G435" s="23" t="s">
        <v>2775</v>
      </c>
      <c r="H435" s="23" t="s">
        <v>1583</v>
      </c>
      <c r="I435" s="23">
        <v>4.0</v>
      </c>
      <c r="J435" s="23" t="s">
        <v>1871</v>
      </c>
    </row>
    <row r="436" ht="18.0" customHeight="1">
      <c r="A436" s="23" t="s">
        <v>2776</v>
      </c>
      <c r="B436" s="23" t="s">
        <v>644</v>
      </c>
      <c r="C436" s="23" t="s">
        <v>43</v>
      </c>
      <c r="D436" s="23" t="s">
        <v>1873</v>
      </c>
      <c r="E436" s="25">
        <v>45439.64914241107</v>
      </c>
      <c r="F436" s="23" t="s">
        <v>1874</v>
      </c>
      <c r="G436" s="23" t="s">
        <v>2777</v>
      </c>
      <c r="H436" s="23" t="s">
        <v>1583</v>
      </c>
      <c r="I436" s="23">
        <v>3.0</v>
      </c>
      <c r="J436" s="23" t="s">
        <v>1876</v>
      </c>
    </row>
    <row r="437" ht="18.0" customHeight="1">
      <c r="A437" s="23" t="s">
        <v>2778</v>
      </c>
      <c r="B437" s="23" t="s">
        <v>644</v>
      </c>
      <c r="C437" s="23" t="s">
        <v>257</v>
      </c>
      <c r="D437" s="23" t="s">
        <v>1878</v>
      </c>
      <c r="E437" s="25">
        <v>46094.660808996065</v>
      </c>
      <c r="F437" s="23" t="s">
        <v>404</v>
      </c>
      <c r="G437" s="23" t="s">
        <v>2779</v>
      </c>
      <c r="H437" s="23" t="s">
        <v>1880</v>
      </c>
      <c r="I437" s="23">
        <v>3.0</v>
      </c>
      <c r="J437" s="23" t="s">
        <v>1881</v>
      </c>
    </row>
    <row r="438" ht="18.0" customHeight="1">
      <c r="A438" s="23" t="s">
        <v>2780</v>
      </c>
      <c r="B438" s="23" t="s">
        <v>644</v>
      </c>
      <c r="C438" s="23" t="s">
        <v>336</v>
      </c>
      <c r="D438" s="23" t="s">
        <v>1883</v>
      </c>
      <c r="E438" s="25">
        <v>46163.572609836236</v>
      </c>
      <c r="F438" s="23" t="s">
        <v>342</v>
      </c>
      <c r="G438" s="23" t="s">
        <v>2781</v>
      </c>
      <c r="H438" s="23" t="s">
        <v>1583</v>
      </c>
      <c r="I438" s="23">
        <v>1.0</v>
      </c>
      <c r="J438" s="23" t="s">
        <v>1885</v>
      </c>
    </row>
    <row r="439" ht="18.0" customHeight="1">
      <c r="A439" s="23" t="s">
        <v>2782</v>
      </c>
      <c r="B439" s="23" t="s">
        <v>644</v>
      </c>
      <c r="C439" s="23" t="s">
        <v>222</v>
      </c>
      <c r="D439" s="23" t="s">
        <v>1887</v>
      </c>
      <c r="E439" s="25">
        <v>45534.36394047388</v>
      </c>
      <c r="F439" s="23" t="s">
        <v>11</v>
      </c>
      <c r="G439" s="23" t="s">
        <v>2783</v>
      </c>
      <c r="H439" s="23" t="s">
        <v>1583</v>
      </c>
      <c r="I439" s="23">
        <v>1.0</v>
      </c>
      <c r="J439" s="23" t="s">
        <v>1889</v>
      </c>
    </row>
    <row r="440" ht="18.0" customHeight="1">
      <c r="A440" s="23" t="s">
        <v>2784</v>
      </c>
      <c r="B440" s="23" t="s">
        <v>649</v>
      </c>
      <c r="C440" s="23" t="s">
        <v>311</v>
      </c>
      <c r="D440" s="23" t="s">
        <v>1878</v>
      </c>
      <c r="E440" s="25">
        <v>45594.29178787349</v>
      </c>
      <c r="F440" s="23" t="s">
        <v>11</v>
      </c>
      <c r="G440" s="23" t="s">
        <v>2785</v>
      </c>
      <c r="H440" s="23" t="s">
        <v>1892</v>
      </c>
      <c r="I440" s="23">
        <v>3.0</v>
      </c>
      <c r="J440" s="23" t="s">
        <v>1881</v>
      </c>
    </row>
    <row r="441" ht="18.0" customHeight="1">
      <c r="A441" s="23" t="s">
        <v>2786</v>
      </c>
      <c r="B441" s="23" t="s">
        <v>649</v>
      </c>
      <c r="C441" s="23" t="s">
        <v>376</v>
      </c>
      <c r="D441" s="23" t="s">
        <v>1883</v>
      </c>
      <c r="E441" s="25">
        <v>45362.25380955241</v>
      </c>
      <c r="F441" s="23" t="s">
        <v>1874</v>
      </c>
      <c r="G441" s="23" t="s">
        <v>2787</v>
      </c>
      <c r="H441" s="23" t="s">
        <v>1583</v>
      </c>
      <c r="I441" s="23">
        <v>1.0</v>
      </c>
      <c r="J441" s="23" t="s">
        <v>1885</v>
      </c>
    </row>
    <row r="442" ht="18.0" customHeight="1">
      <c r="A442" s="23" t="s">
        <v>2788</v>
      </c>
      <c r="B442" s="23" t="s">
        <v>649</v>
      </c>
      <c r="C442" s="23" t="s">
        <v>147</v>
      </c>
      <c r="D442" s="23" t="s">
        <v>1887</v>
      </c>
      <c r="E442" s="25">
        <v>45976.404854760505</v>
      </c>
      <c r="F442" s="23" t="s">
        <v>404</v>
      </c>
      <c r="G442" s="23" t="s">
        <v>2789</v>
      </c>
      <c r="H442" s="23" t="s">
        <v>1583</v>
      </c>
      <c r="I442" s="23">
        <v>1.0</v>
      </c>
      <c r="J442" s="23" t="s">
        <v>1889</v>
      </c>
    </row>
    <row r="443" ht="18.0" customHeight="1">
      <c r="A443" s="23" t="s">
        <v>2790</v>
      </c>
      <c r="B443" s="23" t="s">
        <v>649</v>
      </c>
      <c r="C443" s="23" t="s">
        <v>189</v>
      </c>
      <c r="D443" s="23" t="s">
        <v>1898</v>
      </c>
      <c r="E443" s="25">
        <v>46125.551121472614</v>
      </c>
      <c r="F443" s="23" t="s">
        <v>342</v>
      </c>
      <c r="G443" s="23" t="s">
        <v>2791</v>
      </c>
      <c r="H443" s="23" t="s">
        <v>1866</v>
      </c>
      <c r="I443" s="23">
        <v>2.0</v>
      </c>
      <c r="J443" s="23" t="s">
        <v>1900</v>
      </c>
    </row>
    <row r="444" ht="18.0" customHeight="1">
      <c r="A444" s="23" t="s">
        <v>2792</v>
      </c>
      <c r="B444" s="23" t="s">
        <v>649</v>
      </c>
      <c r="C444" s="23" t="s">
        <v>283</v>
      </c>
      <c r="D444" s="23" t="s">
        <v>1902</v>
      </c>
      <c r="E444" s="25">
        <v>46021.42535514617</v>
      </c>
      <c r="F444" s="23" t="s">
        <v>11</v>
      </c>
      <c r="G444" s="23" t="s">
        <v>2793</v>
      </c>
      <c r="H444" s="23" t="s">
        <v>1583</v>
      </c>
      <c r="I444" s="23">
        <v>2.0</v>
      </c>
      <c r="J444" s="23" t="s">
        <v>1904</v>
      </c>
    </row>
    <row r="445" ht="18.0" customHeight="1">
      <c r="A445" s="23" t="s">
        <v>2794</v>
      </c>
      <c r="B445" s="23" t="s">
        <v>649</v>
      </c>
      <c r="C445" s="23" t="s">
        <v>424</v>
      </c>
      <c r="D445" s="23" t="s">
        <v>1864</v>
      </c>
      <c r="E445" s="25">
        <v>45379.282314440934</v>
      </c>
      <c r="F445" s="23" t="s">
        <v>1874</v>
      </c>
      <c r="G445" s="23" t="s">
        <v>2795</v>
      </c>
      <c r="H445" s="23" t="s">
        <v>1583</v>
      </c>
      <c r="I445" s="23">
        <v>1.0</v>
      </c>
      <c r="J445" s="23" t="s">
        <v>1867</v>
      </c>
    </row>
    <row r="446" ht="18.0" customHeight="1">
      <c r="A446" s="23" t="s">
        <v>2796</v>
      </c>
      <c r="B446" s="23" t="s">
        <v>655</v>
      </c>
      <c r="C446" s="23" t="s">
        <v>336</v>
      </c>
      <c r="D446" s="23" t="s">
        <v>1898</v>
      </c>
      <c r="E446" s="25">
        <v>45989.238062135875</v>
      </c>
      <c r="F446" s="23" t="s">
        <v>1874</v>
      </c>
      <c r="G446" s="23" t="s">
        <v>2797</v>
      </c>
      <c r="H446" s="23" t="s">
        <v>1909</v>
      </c>
      <c r="I446" s="23">
        <v>2.0</v>
      </c>
      <c r="J446" s="23" t="s">
        <v>1900</v>
      </c>
    </row>
    <row r="447" ht="18.0" customHeight="1">
      <c r="A447" s="23" t="s">
        <v>2798</v>
      </c>
      <c r="B447" s="23" t="s">
        <v>655</v>
      </c>
      <c r="C447" s="23" t="s">
        <v>241</v>
      </c>
      <c r="D447" s="23" t="s">
        <v>1902</v>
      </c>
      <c r="E447" s="25">
        <v>45592.584840314696</v>
      </c>
      <c r="F447" s="23" t="s">
        <v>404</v>
      </c>
      <c r="G447" s="23" t="s">
        <v>2799</v>
      </c>
      <c r="H447" s="23" t="s">
        <v>1583</v>
      </c>
      <c r="I447" s="23">
        <v>2.0</v>
      </c>
      <c r="J447" s="23" t="s">
        <v>1904</v>
      </c>
    </row>
    <row r="448" ht="18.0" customHeight="1">
      <c r="A448" s="23" t="s">
        <v>2800</v>
      </c>
      <c r="B448" s="23" t="s">
        <v>655</v>
      </c>
      <c r="C448" s="23" t="s">
        <v>402</v>
      </c>
      <c r="D448" s="23" t="s">
        <v>1864</v>
      </c>
      <c r="E448" s="25">
        <v>45428.97935410729</v>
      </c>
      <c r="F448" s="23" t="s">
        <v>342</v>
      </c>
      <c r="G448" s="23" t="s">
        <v>2801</v>
      </c>
      <c r="H448" s="23" t="s">
        <v>1583</v>
      </c>
      <c r="I448" s="23">
        <v>1.0</v>
      </c>
      <c r="J448" s="23" t="s">
        <v>1867</v>
      </c>
    </row>
    <row r="449" ht="18.0" customHeight="1">
      <c r="A449" s="23" t="s">
        <v>2802</v>
      </c>
      <c r="B449" s="23" t="s">
        <v>655</v>
      </c>
      <c r="C449" s="23" t="s">
        <v>281</v>
      </c>
      <c r="D449" s="23" t="s">
        <v>1869</v>
      </c>
      <c r="E449" s="25">
        <v>46170.02295859321</v>
      </c>
      <c r="F449" s="23" t="s">
        <v>11</v>
      </c>
      <c r="G449" s="23" t="s">
        <v>2803</v>
      </c>
      <c r="H449" s="23" t="s">
        <v>1892</v>
      </c>
      <c r="I449" s="23">
        <v>4.0</v>
      </c>
      <c r="J449" s="23" t="s">
        <v>1871</v>
      </c>
    </row>
    <row r="450" ht="18.0" customHeight="1">
      <c r="A450" s="23" t="s">
        <v>2804</v>
      </c>
      <c r="B450" s="23" t="s">
        <v>655</v>
      </c>
      <c r="C450" s="23" t="s">
        <v>283</v>
      </c>
      <c r="D450" s="23" t="s">
        <v>1873</v>
      </c>
      <c r="E450" s="25">
        <v>45908.39813657012</v>
      </c>
      <c r="F450" s="23" t="s">
        <v>1874</v>
      </c>
      <c r="G450" s="23" t="s">
        <v>2805</v>
      </c>
      <c r="H450" s="23" t="s">
        <v>1583</v>
      </c>
      <c r="I450" s="23">
        <v>3.0</v>
      </c>
      <c r="J450" s="23" t="s">
        <v>1876</v>
      </c>
    </row>
    <row r="451" ht="18.0" customHeight="1">
      <c r="A451" s="23" t="s">
        <v>2806</v>
      </c>
      <c r="B451" s="23" t="s">
        <v>655</v>
      </c>
      <c r="C451" s="23" t="s">
        <v>281</v>
      </c>
      <c r="D451" s="23" t="s">
        <v>1878</v>
      </c>
      <c r="E451" s="25">
        <v>45709.70005445671</v>
      </c>
      <c r="F451" s="23" t="s">
        <v>404</v>
      </c>
      <c r="G451" s="23" t="s">
        <v>2807</v>
      </c>
      <c r="H451" s="23" t="s">
        <v>1583</v>
      </c>
      <c r="I451" s="23">
        <v>3.0</v>
      </c>
      <c r="J451" s="23" t="s">
        <v>1881</v>
      </c>
    </row>
    <row r="452" ht="18.0" customHeight="1">
      <c r="A452" s="23" t="s">
        <v>2808</v>
      </c>
      <c r="B452" s="23" t="s">
        <v>662</v>
      </c>
      <c r="C452" s="23" t="s">
        <v>147</v>
      </c>
      <c r="D452" s="23" t="s">
        <v>1869</v>
      </c>
      <c r="E452" s="25">
        <v>45723.00040965574</v>
      </c>
      <c r="F452" s="23" t="s">
        <v>404</v>
      </c>
      <c r="G452" s="23" t="s">
        <v>2809</v>
      </c>
      <c r="H452" s="23" t="s">
        <v>1880</v>
      </c>
      <c r="I452" s="23">
        <v>4.0</v>
      </c>
      <c r="J452" s="23" t="s">
        <v>1871</v>
      </c>
    </row>
    <row r="453" ht="18.0" customHeight="1">
      <c r="A453" s="23" t="s">
        <v>2810</v>
      </c>
      <c r="B453" s="23" t="s">
        <v>662</v>
      </c>
      <c r="C453" s="23" t="s">
        <v>296</v>
      </c>
      <c r="D453" s="23" t="s">
        <v>1873</v>
      </c>
      <c r="E453" s="25">
        <v>45983.26696815784</v>
      </c>
      <c r="F453" s="23" t="s">
        <v>342</v>
      </c>
      <c r="G453" s="23" t="s">
        <v>2811</v>
      </c>
      <c r="H453" s="23" t="s">
        <v>1583</v>
      </c>
      <c r="I453" s="23">
        <v>3.0</v>
      </c>
      <c r="J453" s="23" t="s">
        <v>1876</v>
      </c>
    </row>
    <row r="454" ht="18.0" customHeight="1">
      <c r="A454" s="23" t="s">
        <v>2812</v>
      </c>
      <c r="B454" s="23" t="s">
        <v>662</v>
      </c>
      <c r="C454" s="23" t="s">
        <v>507</v>
      </c>
      <c r="D454" s="23" t="s">
        <v>1878</v>
      </c>
      <c r="E454" s="25">
        <v>46010.48858963512</v>
      </c>
      <c r="F454" s="23" t="s">
        <v>11</v>
      </c>
      <c r="G454" s="23" t="s">
        <v>2813</v>
      </c>
      <c r="H454" s="23" t="s">
        <v>1583</v>
      </c>
      <c r="I454" s="23">
        <v>3.0</v>
      </c>
      <c r="J454" s="23" t="s">
        <v>1881</v>
      </c>
    </row>
    <row r="455" ht="18.0" customHeight="1">
      <c r="A455" s="23" t="s">
        <v>2814</v>
      </c>
      <c r="B455" s="23" t="s">
        <v>662</v>
      </c>
      <c r="C455" s="23" t="s">
        <v>465</v>
      </c>
      <c r="D455" s="23" t="s">
        <v>1883</v>
      </c>
      <c r="E455" s="25">
        <v>45569.41898713284</v>
      </c>
      <c r="F455" s="23" t="s">
        <v>1874</v>
      </c>
      <c r="G455" s="23" t="s">
        <v>2815</v>
      </c>
      <c r="H455" s="23" t="s">
        <v>1909</v>
      </c>
      <c r="I455" s="23">
        <v>1.0</v>
      </c>
      <c r="J455" s="23" t="s">
        <v>1885</v>
      </c>
    </row>
    <row r="456" ht="18.0" customHeight="1">
      <c r="A456" s="23" t="s">
        <v>2816</v>
      </c>
      <c r="B456" s="23" t="s">
        <v>662</v>
      </c>
      <c r="C456" s="23" t="s">
        <v>527</v>
      </c>
      <c r="D456" s="23" t="s">
        <v>1887</v>
      </c>
      <c r="E456" s="25">
        <v>45309.988138176035</v>
      </c>
      <c r="F456" s="23" t="s">
        <v>404</v>
      </c>
      <c r="G456" s="23" t="s">
        <v>2817</v>
      </c>
      <c r="H456" s="23" t="s">
        <v>1583</v>
      </c>
      <c r="I456" s="23">
        <v>1.0</v>
      </c>
      <c r="J456" s="23" t="s">
        <v>1889</v>
      </c>
    </row>
    <row r="457" ht="18.0" customHeight="1">
      <c r="A457" s="23" t="s">
        <v>2818</v>
      </c>
      <c r="B457" s="23" t="s">
        <v>662</v>
      </c>
      <c r="C457" s="23" t="s">
        <v>331</v>
      </c>
      <c r="D457" s="23" t="s">
        <v>1898</v>
      </c>
      <c r="E457" s="25">
        <v>45306.20950376219</v>
      </c>
      <c r="F457" s="23" t="s">
        <v>342</v>
      </c>
      <c r="G457" s="23" t="s">
        <v>2819</v>
      </c>
      <c r="H457" s="23" t="s">
        <v>1583</v>
      </c>
      <c r="I457" s="23">
        <v>2.0</v>
      </c>
      <c r="J457" s="23" t="s">
        <v>1900</v>
      </c>
    </row>
    <row r="458" ht="18.0" customHeight="1">
      <c r="A458" s="23" t="s">
        <v>2820</v>
      </c>
      <c r="B458" s="23" t="s">
        <v>670</v>
      </c>
      <c r="C458" s="23" t="s">
        <v>320</v>
      </c>
      <c r="D458" s="23" t="s">
        <v>1883</v>
      </c>
      <c r="E458" s="25">
        <v>45395.621435862966</v>
      </c>
      <c r="F458" s="23" t="s">
        <v>342</v>
      </c>
      <c r="G458" s="23" t="s">
        <v>2821</v>
      </c>
      <c r="H458" s="23" t="s">
        <v>1866</v>
      </c>
      <c r="I458" s="23">
        <v>1.0</v>
      </c>
      <c r="J458" s="23" t="s">
        <v>1885</v>
      </c>
    </row>
    <row r="459" ht="18.0" customHeight="1">
      <c r="A459" s="23" t="s">
        <v>2822</v>
      </c>
      <c r="B459" s="23" t="s">
        <v>670</v>
      </c>
      <c r="C459" s="23" t="s">
        <v>210</v>
      </c>
      <c r="D459" s="23" t="s">
        <v>1887</v>
      </c>
      <c r="E459" s="25">
        <v>45376.048380772816</v>
      </c>
      <c r="F459" s="23" t="s">
        <v>11</v>
      </c>
      <c r="G459" s="23" t="s">
        <v>2823</v>
      </c>
      <c r="H459" s="23" t="s">
        <v>1583</v>
      </c>
      <c r="I459" s="23">
        <v>1.0</v>
      </c>
      <c r="J459" s="23" t="s">
        <v>1889</v>
      </c>
    </row>
    <row r="460" ht="18.0" customHeight="1">
      <c r="A460" s="23" t="s">
        <v>2824</v>
      </c>
      <c r="B460" s="23" t="s">
        <v>670</v>
      </c>
      <c r="C460" s="23" t="s">
        <v>271</v>
      </c>
      <c r="D460" s="23" t="s">
        <v>1898</v>
      </c>
      <c r="E460" s="25">
        <v>45917.95465681562</v>
      </c>
      <c r="F460" s="23" t="s">
        <v>1874</v>
      </c>
      <c r="G460" s="23" t="s">
        <v>2825</v>
      </c>
      <c r="H460" s="23" t="s">
        <v>1583</v>
      </c>
      <c r="I460" s="23">
        <v>2.0</v>
      </c>
      <c r="J460" s="23" t="s">
        <v>1900</v>
      </c>
    </row>
    <row r="461" ht="18.0" customHeight="1">
      <c r="A461" s="23" t="s">
        <v>2826</v>
      </c>
      <c r="B461" s="23" t="s">
        <v>670</v>
      </c>
      <c r="C461" s="23" t="s">
        <v>177</v>
      </c>
      <c r="D461" s="23" t="s">
        <v>1902</v>
      </c>
      <c r="E461" s="25">
        <v>45586.660292836605</v>
      </c>
      <c r="F461" s="23" t="s">
        <v>404</v>
      </c>
      <c r="G461" s="23" t="s">
        <v>2827</v>
      </c>
      <c r="H461" s="23" t="s">
        <v>1880</v>
      </c>
      <c r="I461" s="23">
        <v>2.0</v>
      </c>
      <c r="J461" s="23" t="s">
        <v>1904</v>
      </c>
    </row>
    <row r="462" ht="18.0" customHeight="1">
      <c r="A462" s="23" t="s">
        <v>2828</v>
      </c>
      <c r="B462" s="23" t="s">
        <v>670</v>
      </c>
      <c r="C462" s="23" t="s">
        <v>331</v>
      </c>
      <c r="D462" s="23" t="s">
        <v>1864</v>
      </c>
      <c r="E462" s="25">
        <v>46080.02015905455</v>
      </c>
      <c r="F462" s="23" t="s">
        <v>342</v>
      </c>
      <c r="G462" s="23" t="s">
        <v>2829</v>
      </c>
      <c r="H462" s="23" t="s">
        <v>1583</v>
      </c>
      <c r="I462" s="23">
        <v>1.0</v>
      </c>
      <c r="J462" s="23" t="s">
        <v>1867</v>
      </c>
    </row>
    <row r="463" ht="18.0" customHeight="1">
      <c r="A463" s="23" t="s">
        <v>2830</v>
      </c>
      <c r="B463" s="23" t="s">
        <v>670</v>
      </c>
      <c r="C463" s="23" t="s">
        <v>311</v>
      </c>
      <c r="D463" s="23" t="s">
        <v>1869</v>
      </c>
      <c r="E463" s="25">
        <v>45488.115226982394</v>
      </c>
      <c r="F463" s="23" t="s">
        <v>11</v>
      </c>
      <c r="G463" s="23" t="s">
        <v>2831</v>
      </c>
      <c r="H463" s="23" t="s">
        <v>1583</v>
      </c>
      <c r="I463" s="23">
        <v>4.0</v>
      </c>
      <c r="J463" s="23" t="s">
        <v>1871</v>
      </c>
    </row>
    <row r="464" ht="18.0" customHeight="1">
      <c r="A464" s="23" t="s">
        <v>2832</v>
      </c>
      <c r="B464" s="23" t="s">
        <v>469</v>
      </c>
      <c r="C464" s="23" t="s">
        <v>241</v>
      </c>
      <c r="D464" s="23" t="s">
        <v>1902</v>
      </c>
      <c r="E464" s="25">
        <v>46052.81710057473</v>
      </c>
      <c r="F464" s="23" t="s">
        <v>11</v>
      </c>
      <c r="G464" s="23" t="s">
        <v>2833</v>
      </c>
      <c r="H464" s="23" t="s">
        <v>1892</v>
      </c>
      <c r="I464" s="23">
        <v>2.0</v>
      </c>
      <c r="J464" s="23" t="s">
        <v>1904</v>
      </c>
    </row>
    <row r="465" ht="18.0" customHeight="1">
      <c r="A465" s="23" t="s">
        <v>2834</v>
      </c>
      <c r="B465" s="23" t="s">
        <v>469</v>
      </c>
      <c r="C465" s="23" t="s">
        <v>402</v>
      </c>
      <c r="D465" s="23" t="s">
        <v>1864</v>
      </c>
      <c r="E465" s="25">
        <v>45413.37242600112</v>
      </c>
      <c r="F465" s="23" t="s">
        <v>1874</v>
      </c>
      <c r="G465" s="23" t="s">
        <v>2835</v>
      </c>
      <c r="H465" s="23" t="s">
        <v>1583</v>
      </c>
      <c r="I465" s="23">
        <v>1.0</v>
      </c>
      <c r="J465" s="23" t="s">
        <v>1867</v>
      </c>
    </row>
    <row r="466" ht="18.0" customHeight="1">
      <c r="A466" s="23" t="s">
        <v>2836</v>
      </c>
      <c r="B466" s="23" t="s">
        <v>469</v>
      </c>
      <c r="C466" s="23" t="s">
        <v>184</v>
      </c>
      <c r="D466" s="23" t="s">
        <v>1869</v>
      </c>
      <c r="E466" s="25">
        <v>45915.729123900644</v>
      </c>
      <c r="F466" s="23" t="s">
        <v>404</v>
      </c>
      <c r="G466" s="23" t="s">
        <v>2837</v>
      </c>
      <c r="H466" s="23" t="s">
        <v>1583</v>
      </c>
      <c r="I466" s="23">
        <v>4.0</v>
      </c>
      <c r="J466" s="23" t="s">
        <v>1871</v>
      </c>
    </row>
    <row r="467" ht="18.0" customHeight="1">
      <c r="A467" s="23" t="s">
        <v>2838</v>
      </c>
      <c r="B467" s="23" t="s">
        <v>469</v>
      </c>
      <c r="C467" s="23" t="s">
        <v>527</v>
      </c>
      <c r="D467" s="23" t="s">
        <v>1873</v>
      </c>
      <c r="E467" s="25">
        <v>45441.16284808633</v>
      </c>
      <c r="F467" s="23" t="s">
        <v>342</v>
      </c>
      <c r="G467" s="23" t="s">
        <v>2839</v>
      </c>
      <c r="H467" s="23" t="s">
        <v>1866</v>
      </c>
      <c r="I467" s="23">
        <v>3.0</v>
      </c>
      <c r="J467" s="23" t="s">
        <v>1876</v>
      </c>
    </row>
    <row r="468" ht="18.0" customHeight="1">
      <c r="A468" s="23" t="s">
        <v>2840</v>
      </c>
      <c r="B468" s="23" t="s">
        <v>469</v>
      </c>
      <c r="C468" s="23" t="s">
        <v>43</v>
      </c>
      <c r="D468" s="23" t="s">
        <v>1878</v>
      </c>
      <c r="E468" s="25">
        <v>45505.98252220871</v>
      </c>
      <c r="F468" s="23" t="s">
        <v>11</v>
      </c>
      <c r="G468" s="23" t="s">
        <v>2841</v>
      </c>
      <c r="H468" s="23" t="s">
        <v>1583</v>
      </c>
      <c r="I468" s="23">
        <v>3.0</v>
      </c>
      <c r="J468" s="23" t="s">
        <v>1881</v>
      </c>
    </row>
    <row r="469" ht="18.0" customHeight="1">
      <c r="A469" s="23" t="s">
        <v>2842</v>
      </c>
      <c r="B469" s="23" t="s">
        <v>469</v>
      </c>
      <c r="C469" s="23" t="s">
        <v>136</v>
      </c>
      <c r="D469" s="23" t="s">
        <v>1883</v>
      </c>
      <c r="E469" s="25">
        <v>45553.5361925147</v>
      </c>
      <c r="F469" s="23" t="s">
        <v>1874</v>
      </c>
      <c r="G469" s="23" t="s">
        <v>2843</v>
      </c>
      <c r="H469" s="23" t="s">
        <v>1583</v>
      </c>
      <c r="I469" s="23">
        <v>1.0</v>
      </c>
      <c r="J469" s="23" t="s">
        <v>1885</v>
      </c>
    </row>
    <row r="470" ht="18.0" customHeight="1">
      <c r="A470" s="23" t="s">
        <v>2844</v>
      </c>
      <c r="B470" s="23" t="s">
        <v>679</v>
      </c>
      <c r="C470" s="23" t="s">
        <v>496</v>
      </c>
      <c r="D470" s="23" t="s">
        <v>1873</v>
      </c>
      <c r="E470" s="25">
        <v>45342.413807915524</v>
      </c>
      <c r="F470" s="23" t="s">
        <v>1874</v>
      </c>
      <c r="G470" s="23" t="s">
        <v>2845</v>
      </c>
      <c r="H470" s="23" t="s">
        <v>1909</v>
      </c>
      <c r="I470" s="23">
        <v>3.0</v>
      </c>
      <c r="J470" s="23" t="s">
        <v>1876</v>
      </c>
    </row>
    <row r="471" ht="18.0" customHeight="1">
      <c r="A471" s="23" t="s">
        <v>2846</v>
      </c>
      <c r="B471" s="23" t="s">
        <v>679</v>
      </c>
      <c r="C471" s="23" t="s">
        <v>489</v>
      </c>
      <c r="D471" s="23" t="s">
        <v>1878</v>
      </c>
      <c r="E471" s="25">
        <v>46087.57920523384</v>
      </c>
      <c r="F471" s="23" t="s">
        <v>404</v>
      </c>
      <c r="G471" s="23" t="s">
        <v>2847</v>
      </c>
      <c r="H471" s="23" t="s">
        <v>1583</v>
      </c>
      <c r="I471" s="23">
        <v>3.0</v>
      </c>
      <c r="J471" s="23" t="s">
        <v>1881</v>
      </c>
    </row>
    <row r="472" ht="18.0" customHeight="1">
      <c r="A472" s="23" t="s">
        <v>2848</v>
      </c>
      <c r="B472" s="23" t="s">
        <v>679</v>
      </c>
      <c r="C472" s="23" t="s">
        <v>331</v>
      </c>
      <c r="D472" s="23" t="s">
        <v>1883</v>
      </c>
      <c r="E472" s="25">
        <v>45625.23454994289</v>
      </c>
      <c r="F472" s="23" t="s">
        <v>342</v>
      </c>
      <c r="G472" s="23" t="s">
        <v>2849</v>
      </c>
      <c r="H472" s="23" t="s">
        <v>1583</v>
      </c>
      <c r="I472" s="23">
        <v>1.0</v>
      </c>
      <c r="J472" s="23" t="s">
        <v>1885</v>
      </c>
    </row>
    <row r="473" ht="18.0" customHeight="1">
      <c r="A473" s="23" t="s">
        <v>2850</v>
      </c>
      <c r="B473" s="23" t="s">
        <v>679</v>
      </c>
      <c r="C473" s="23" t="s">
        <v>465</v>
      </c>
      <c r="D473" s="23" t="s">
        <v>1887</v>
      </c>
      <c r="E473" s="25">
        <v>45607.73482978693</v>
      </c>
      <c r="F473" s="23" t="s">
        <v>11</v>
      </c>
      <c r="G473" s="23" t="s">
        <v>2851</v>
      </c>
      <c r="H473" s="23" t="s">
        <v>1892</v>
      </c>
      <c r="I473" s="23">
        <v>1.0</v>
      </c>
      <c r="J473" s="23" t="s">
        <v>1889</v>
      </c>
    </row>
    <row r="474" ht="18.0" customHeight="1">
      <c r="A474" s="23" t="s">
        <v>2852</v>
      </c>
      <c r="B474" s="23" t="s">
        <v>679</v>
      </c>
      <c r="C474" s="23" t="s">
        <v>112</v>
      </c>
      <c r="D474" s="23" t="s">
        <v>1898</v>
      </c>
      <c r="E474" s="25">
        <v>45848.48622868303</v>
      </c>
      <c r="F474" s="23" t="s">
        <v>1874</v>
      </c>
      <c r="G474" s="23" t="s">
        <v>2853</v>
      </c>
      <c r="H474" s="23" t="s">
        <v>1583</v>
      </c>
      <c r="I474" s="23">
        <v>2.0</v>
      </c>
      <c r="J474" s="23" t="s">
        <v>1900</v>
      </c>
    </row>
    <row r="475" ht="18.0" customHeight="1">
      <c r="A475" s="23" t="s">
        <v>2854</v>
      </c>
      <c r="B475" s="23" t="s">
        <v>679</v>
      </c>
      <c r="C475" s="23" t="s">
        <v>545</v>
      </c>
      <c r="D475" s="23" t="s">
        <v>1902</v>
      </c>
      <c r="E475" s="25">
        <v>46119.379308066564</v>
      </c>
      <c r="F475" s="23" t="s">
        <v>404</v>
      </c>
      <c r="G475" s="23" t="s">
        <v>2855</v>
      </c>
      <c r="H475" s="23" t="s">
        <v>1583</v>
      </c>
      <c r="I475" s="23">
        <v>2.0</v>
      </c>
      <c r="J475" s="23" t="s">
        <v>1904</v>
      </c>
    </row>
    <row r="476" ht="18.0" customHeight="1">
      <c r="A476" s="23" t="s">
        <v>2856</v>
      </c>
      <c r="B476" s="23" t="s">
        <v>685</v>
      </c>
      <c r="C476" s="23" t="s">
        <v>112</v>
      </c>
      <c r="D476" s="23" t="s">
        <v>1887</v>
      </c>
      <c r="E476" s="25">
        <v>46104.28117799992</v>
      </c>
      <c r="F476" s="23" t="s">
        <v>404</v>
      </c>
      <c r="G476" s="23" t="s">
        <v>2857</v>
      </c>
      <c r="H476" s="23" t="s">
        <v>1880</v>
      </c>
      <c r="I476" s="23">
        <v>1.0</v>
      </c>
      <c r="J476" s="23" t="s">
        <v>1889</v>
      </c>
    </row>
    <row r="477" ht="18.0" customHeight="1">
      <c r="A477" s="23" t="s">
        <v>2858</v>
      </c>
      <c r="B477" s="23" t="s">
        <v>685</v>
      </c>
      <c r="C477" s="23" t="s">
        <v>376</v>
      </c>
      <c r="D477" s="23" t="s">
        <v>1898</v>
      </c>
      <c r="E477" s="25">
        <v>45997.90906195226</v>
      </c>
      <c r="F477" s="23" t="s">
        <v>342</v>
      </c>
      <c r="G477" s="23" t="s">
        <v>2859</v>
      </c>
      <c r="H477" s="23" t="s">
        <v>1583</v>
      </c>
      <c r="I477" s="23">
        <v>2.0</v>
      </c>
      <c r="J477" s="23" t="s">
        <v>1900</v>
      </c>
    </row>
    <row r="478" ht="18.0" customHeight="1">
      <c r="A478" s="23" t="s">
        <v>2860</v>
      </c>
      <c r="B478" s="23" t="s">
        <v>685</v>
      </c>
      <c r="C478" s="23" t="s">
        <v>189</v>
      </c>
      <c r="D478" s="23" t="s">
        <v>1902</v>
      </c>
      <c r="E478" s="25">
        <v>46080.03994141519</v>
      </c>
      <c r="F478" s="23" t="s">
        <v>11</v>
      </c>
      <c r="G478" s="23" t="s">
        <v>2861</v>
      </c>
      <c r="H478" s="23" t="s">
        <v>1583</v>
      </c>
      <c r="I478" s="23">
        <v>2.0</v>
      </c>
      <c r="J478" s="23" t="s">
        <v>1904</v>
      </c>
    </row>
    <row r="479" ht="18.0" customHeight="1">
      <c r="A479" s="23" t="s">
        <v>2862</v>
      </c>
      <c r="B479" s="23" t="s">
        <v>685</v>
      </c>
      <c r="C479" s="23" t="s">
        <v>496</v>
      </c>
      <c r="D479" s="23" t="s">
        <v>1864</v>
      </c>
      <c r="E479" s="25">
        <v>45860.11360094906</v>
      </c>
      <c r="F479" s="23" t="s">
        <v>1874</v>
      </c>
      <c r="G479" s="23" t="s">
        <v>2863</v>
      </c>
      <c r="H479" s="23" t="s">
        <v>1909</v>
      </c>
      <c r="I479" s="23">
        <v>1.0</v>
      </c>
      <c r="J479" s="23" t="s">
        <v>1867</v>
      </c>
    </row>
    <row r="480" ht="18.0" customHeight="1">
      <c r="A480" s="23" t="s">
        <v>2864</v>
      </c>
      <c r="B480" s="23" t="s">
        <v>685</v>
      </c>
      <c r="C480" s="23" t="s">
        <v>177</v>
      </c>
      <c r="D480" s="23" t="s">
        <v>1869</v>
      </c>
      <c r="E480" s="25">
        <v>45748.573064939585</v>
      </c>
      <c r="F480" s="23" t="s">
        <v>404</v>
      </c>
      <c r="G480" s="23" t="s">
        <v>2865</v>
      </c>
      <c r="H480" s="23" t="s">
        <v>1583</v>
      </c>
      <c r="I480" s="23">
        <v>4.0</v>
      </c>
      <c r="J480" s="23" t="s">
        <v>1871</v>
      </c>
    </row>
    <row r="481" ht="18.0" customHeight="1">
      <c r="A481" s="23" t="s">
        <v>2866</v>
      </c>
      <c r="B481" s="23" t="s">
        <v>685</v>
      </c>
      <c r="C481" s="23" t="s">
        <v>311</v>
      </c>
      <c r="D481" s="23" t="s">
        <v>1873</v>
      </c>
      <c r="E481" s="25">
        <v>45978.127302506706</v>
      </c>
      <c r="F481" s="23" t="s">
        <v>342</v>
      </c>
      <c r="G481" s="23" t="s">
        <v>2867</v>
      </c>
      <c r="H481" s="23" t="s">
        <v>1583</v>
      </c>
      <c r="I481" s="23">
        <v>3.0</v>
      </c>
      <c r="J481" s="23" t="s">
        <v>1876</v>
      </c>
    </row>
  </sheetData>
  <autoFilter ref="$A$1:$J$48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82C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5.38"/>
    <col customWidth="1" min="3" max="3" width="14.5"/>
    <col customWidth="1" min="4" max="4" width="10.88"/>
    <col customWidth="1" min="5" max="5" width="10.13"/>
    <col customWidth="1" min="6" max="6" width="10.25"/>
    <col customWidth="1" min="7" max="7" width="16.13"/>
    <col customWidth="1" min="8" max="8" width="8.88"/>
    <col customWidth="1" min="9" max="9" width="12.0"/>
  </cols>
  <sheetData>
    <row r="1" ht="27.0" customHeight="1">
      <c r="A1" s="22" t="s">
        <v>1763</v>
      </c>
      <c r="B1" s="22" t="s">
        <v>1773</v>
      </c>
      <c r="C1" s="22" t="s">
        <v>1775</v>
      </c>
      <c r="D1" s="22" t="s">
        <v>1746</v>
      </c>
      <c r="E1" s="22" t="s">
        <v>1778</v>
      </c>
      <c r="F1" s="22" t="s">
        <v>1759</v>
      </c>
      <c r="G1" s="22" t="s">
        <v>1781</v>
      </c>
      <c r="H1" s="22" t="s">
        <v>1743</v>
      </c>
      <c r="I1" s="22" t="s">
        <v>1784</v>
      </c>
    </row>
    <row r="2" ht="18.0" customHeight="1">
      <c r="A2" s="23" t="s">
        <v>1880</v>
      </c>
      <c r="B2" s="23" t="s">
        <v>2421</v>
      </c>
      <c r="C2" s="23" t="s">
        <v>2422</v>
      </c>
      <c r="D2" s="26">
        <v>45292.0</v>
      </c>
      <c r="E2" s="26">
        <v>45352.0</v>
      </c>
      <c r="F2" s="23" t="s">
        <v>2428</v>
      </c>
      <c r="G2" s="23" t="s">
        <v>2429</v>
      </c>
      <c r="H2" s="23" t="s">
        <v>2430</v>
      </c>
      <c r="I2" s="27">
        <v>8.0E7</v>
      </c>
    </row>
    <row r="3" ht="18.0" customHeight="1">
      <c r="A3" s="23" t="s">
        <v>1866</v>
      </c>
      <c r="B3" s="23" t="s">
        <v>2433</v>
      </c>
      <c r="C3" s="23" t="s">
        <v>2435</v>
      </c>
      <c r="D3" s="26">
        <v>45444.0</v>
      </c>
      <c r="E3" s="26">
        <v>45535.0</v>
      </c>
      <c r="F3" s="23" t="s">
        <v>1332</v>
      </c>
      <c r="G3" s="23" t="s">
        <v>2436</v>
      </c>
      <c r="H3" s="23" t="s">
        <v>2430</v>
      </c>
      <c r="I3" s="27">
        <v>6.0E7</v>
      </c>
    </row>
    <row r="4" ht="18.0" customHeight="1">
      <c r="A4" s="23" t="s">
        <v>1892</v>
      </c>
      <c r="B4" s="23" t="s">
        <v>2438</v>
      </c>
      <c r="C4" s="23" t="s">
        <v>2440</v>
      </c>
      <c r="D4" s="26">
        <v>45747.0</v>
      </c>
      <c r="E4" s="26">
        <v>45838.0</v>
      </c>
      <c r="F4" s="23" t="s">
        <v>2428</v>
      </c>
      <c r="G4" s="23" t="s">
        <v>2441</v>
      </c>
      <c r="H4" s="23" t="s">
        <v>2430</v>
      </c>
      <c r="I4" s="27">
        <v>7.0E7</v>
      </c>
    </row>
    <row r="5" ht="18.0" customHeight="1">
      <c r="A5" s="23" t="s">
        <v>1909</v>
      </c>
      <c r="B5" s="23" t="s">
        <v>2443</v>
      </c>
      <c r="C5" s="23" t="s">
        <v>2422</v>
      </c>
      <c r="D5" s="26">
        <v>45991.0</v>
      </c>
      <c r="E5" s="26">
        <v>46081.0</v>
      </c>
      <c r="F5" s="23" t="s">
        <v>2445</v>
      </c>
      <c r="G5" s="23" t="s">
        <v>2446</v>
      </c>
      <c r="H5" s="23" t="s">
        <v>60</v>
      </c>
      <c r="I5" s="27">
        <v>1.0E8</v>
      </c>
    </row>
  </sheetData>
  <autoFilter ref="$A$1:$I$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82C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2.13"/>
    <col customWidth="1" min="3" max="3" width="9.63"/>
    <col customWidth="1" min="4" max="4" width="13.25"/>
    <col customWidth="1" min="5" max="5" width="11.0"/>
    <col customWidth="1" min="6" max="6" width="11.13"/>
    <col customWidth="1" min="7" max="7" width="10.25"/>
    <col customWidth="1" min="8" max="8" width="23.63"/>
    <col customWidth="1" min="9" max="9" width="18.38"/>
    <col customWidth="1" min="10" max="10" width="15.63"/>
    <col customWidth="1" min="11" max="11" width="8.75"/>
    <col customWidth="1" min="12" max="12" width="8.5"/>
    <col customWidth="1" min="13" max="13" width="9.13"/>
    <col customWidth="1" min="14" max="14" width="14.25"/>
    <col customWidth="1" min="15" max="15" width="12.25"/>
    <col customWidth="1" min="16" max="16" width="16.25"/>
  </cols>
  <sheetData>
    <row r="1" ht="27.0" customHeight="1">
      <c r="A1" s="22" t="s">
        <v>1787</v>
      </c>
      <c r="B1" s="22" t="s">
        <v>53</v>
      </c>
      <c r="C1" s="22" t="s">
        <v>1790</v>
      </c>
      <c r="D1" s="22" t="s">
        <v>1792</v>
      </c>
      <c r="E1" s="22" t="s">
        <v>1794</v>
      </c>
      <c r="F1" s="22" t="s">
        <v>1796</v>
      </c>
      <c r="G1" s="22" t="s">
        <v>1798</v>
      </c>
      <c r="H1" s="22" t="s">
        <v>1800</v>
      </c>
      <c r="I1" s="22" t="s">
        <v>1802</v>
      </c>
      <c r="J1" s="22" t="s">
        <v>1804</v>
      </c>
      <c r="K1" s="22" t="s">
        <v>1806</v>
      </c>
      <c r="L1" s="22" t="s">
        <v>1808</v>
      </c>
      <c r="M1" s="22" t="s">
        <v>1810</v>
      </c>
      <c r="N1" s="22" t="s">
        <v>1812</v>
      </c>
      <c r="O1" s="22" t="s">
        <v>1815</v>
      </c>
      <c r="P1" s="22" t="s">
        <v>1817</v>
      </c>
    </row>
    <row r="2" ht="18.0" customHeight="1">
      <c r="A2" s="26">
        <v>46247.0</v>
      </c>
      <c r="B2" s="23" t="s">
        <v>36</v>
      </c>
      <c r="C2" s="20" t="str">
        <f>IFERROR(VLOOKUP(B2,Customers!$B$2:$L$81,11,FALSE),"")</f>
        <v>EMP001</v>
      </c>
      <c r="D2" s="20">
        <f>IFERROR(__xludf.DUMMYFUNCTION("IFERROR(A2-MAX(FILTER(Orders!$D$2:$D$201,Orders!$I$2:$I$201=B2,Orders!$T$2:$T$201=TRUE)),"""")"),68.35771990740614)</f>
        <v>68.35771991</v>
      </c>
      <c r="E2" s="20">
        <f>COUNTIFS(Orders!$I$2:$I$201,B2,Orders!$T$2:$T$201,TRUE)</f>
        <v>2</v>
      </c>
      <c r="F2" s="28">
        <f>SUMIFS(Orders!$R$2:$R$201,Orders!$I$2:$I$201,B2,Orders!$T$2:$T$201,TRUE)</f>
        <v>2661000</v>
      </c>
      <c r="G2" s="28">
        <f t="shared" ref="G2:G81" si="1">IFERROR(F2/E2,0)</f>
        <v>1330500</v>
      </c>
      <c r="H2" s="28">
        <f>IFERROR(__xludf.DUMMYFUNCTION("IF(E2&lt;2,"""",IFERROR((MAX(FILTER(Orders!$D$2:$D$201,Orders!$I$2:$I$201=B2,Orders!$T$2:$T$201=TRUE))-MIN(FILTER(Orders!$D$2:$D$201,Orders!$I$2:$I$201=B2,Orders!$T$2:$T$201=TRUE)))/(E2-1),""""))"),561.5618518518531)</f>
        <v>561.5618519</v>
      </c>
      <c r="I2" s="20">
        <f>IFERROR(AVERAGEIF(Reviews!$H$2:$H$142,B3,Reviews!$C$2:$C$142),"")</f>
        <v>3.75</v>
      </c>
      <c r="J2" s="20">
        <f>SUMIF(Interactions!$B$2:$B$481,B2,Interactions!$I$2:$I$481)</f>
        <v>13</v>
      </c>
      <c r="K2" s="20">
        <f t="shared" ref="K2:K81" si="2">IF(D2="","",MAX(1,MIN(5,6-ROUNDUP(PERCENTRANK($D$2:$D$81,D2)*4+1,0))))</f>
        <v>4</v>
      </c>
      <c r="L2" s="20">
        <f t="shared" ref="L2:L81" si="3">MAX(1,MIN(5,ROUNDUP(PERCENTRANK($E$2:$E$81,E2)*4+1,0)))</f>
        <v>4</v>
      </c>
      <c r="M2" s="20">
        <f t="shared" ref="M2:M81" si="4">MAX(1,MIN(5,ROUNDUP(PERCENTRANK($F$2:$F$81,F2)*4+1,0)))</f>
        <v>4</v>
      </c>
      <c r="N2" s="28">
        <f t="shared" ref="N2:N81" si="5">IF(K2="","",ROUND((K2*35+L2*30+M2*20+(1+4*(J2-MIN($J$2:$J$81))/MAX(1,MAX($J$2:$J$81)-MIN($J$2:$J$81)))*15)/5,1))</f>
        <v>78.2</v>
      </c>
      <c r="O2" s="20" t="str">
        <f t="shared" ref="O2:O81" si="6">IF(N2="","Chưa đủ dữ liệu",IF(N2&gt;=80,"Tiềm năng cao",IF(N2&gt;=60,"Tiềm năng","Thông thường")))</f>
        <v>Tiềm năng</v>
      </c>
      <c r="P2" s="23" t="s">
        <v>2622</v>
      </c>
    </row>
    <row r="3" ht="18.0" customHeight="1">
      <c r="A3" s="26">
        <v>46247.0</v>
      </c>
      <c r="B3" s="23" t="s">
        <v>68</v>
      </c>
      <c r="C3" s="20" t="str">
        <f>IFERROR(VLOOKUP(B3,Customers!$B$2:$L$81,11,FALSE),"")</f>
        <v>EMP002</v>
      </c>
      <c r="D3" s="20">
        <f>IFERROR(__xludf.DUMMYFUNCTION("IFERROR(A3-MAX(FILTER(Orders!$D$2:$D$201,Orders!$I$2:$I$201=B3,Orders!$T$2:$T$201=TRUE)),"""")"),50.9545370370397)</f>
        <v>50.95453704</v>
      </c>
      <c r="E3" s="20">
        <f>COUNTIFS(Orders!$I$2:$I$201,B3,Orders!$T$2:$T$201,TRUE)</f>
        <v>3</v>
      </c>
      <c r="F3" s="28">
        <f>SUMIFS(Orders!$R$2:$R$201,Orders!$I$2:$I$201,B3,Orders!$T$2:$T$201,TRUE)</f>
        <v>4841000</v>
      </c>
      <c r="G3" s="28">
        <f t="shared" si="1"/>
        <v>1613666.667</v>
      </c>
      <c r="H3" s="28">
        <f>IFERROR(__xludf.DUMMYFUNCTION("IF(E3&lt;2,"""",IFERROR((MAX(FILTER(Orders!$D$2:$D$201,Orders!$I$2:$I$201=B3,Orders!$T$2:$T$201=TRUE))-MIN(FILTER(Orders!$D$2:$D$201,Orders!$I$2:$I$201=B3,Orders!$T$2:$T$201=TRUE)))/(E3-1),""""))"),433.2268402777772)</f>
        <v>433.2268403</v>
      </c>
      <c r="J3" s="20">
        <f>SUMIF(Interactions!$B$2:$B$481,B3,Interactions!$I$2:$I$481)</f>
        <v>10</v>
      </c>
      <c r="K3" s="20">
        <f t="shared" si="2"/>
        <v>4</v>
      </c>
      <c r="L3" s="20">
        <f t="shared" si="3"/>
        <v>4</v>
      </c>
      <c r="M3" s="20">
        <f t="shared" si="4"/>
        <v>5</v>
      </c>
      <c r="N3" s="28">
        <f t="shared" si="5"/>
        <v>75</v>
      </c>
      <c r="O3" s="20" t="str">
        <f t="shared" si="6"/>
        <v>Tiềm năng</v>
      </c>
      <c r="P3" s="23" t="s">
        <v>2622</v>
      </c>
    </row>
    <row r="4" ht="18.0" customHeight="1">
      <c r="A4" s="26">
        <v>46247.0</v>
      </c>
      <c r="B4" s="23" t="s">
        <v>83</v>
      </c>
      <c r="C4" s="20" t="str">
        <f>IFERROR(VLOOKUP(B4,Customers!$B$2:$L$81,11,FALSE),"")</f>
        <v>EMP003</v>
      </c>
      <c r="D4" s="20">
        <f>IFERROR(__xludf.DUMMYFUNCTION("IFERROR(A4-MAX(FILTER(Orders!$D$2:$D$201,Orders!$I$2:$I$201=B4,Orders!$T$2:$T$201=TRUE)),"""")"),91.89237268518627)</f>
        <v>91.89237269</v>
      </c>
      <c r="E4" s="20">
        <f>COUNTIFS(Orders!$I$2:$I$201,B4,Orders!$T$2:$T$201,TRUE)</f>
        <v>2</v>
      </c>
      <c r="F4" s="28">
        <f>SUMIFS(Orders!$R$2:$R$201,Orders!$I$2:$I$201,B4,Orders!$T$2:$T$201,TRUE)</f>
        <v>5863000</v>
      </c>
      <c r="G4" s="28">
        <f t="shared" si="1"/>
        <v>2931500</v>
      </c>
      <c r="H4" s="28">
        <f>IFERROR(__xludf.DUMMYFUNCTION("IF(E4&lt;2,"""",IFERROR((MAX(FILTER(Orders!$D$2:$D$201,Orders!$I$2:$I$201=B4,Orders!$T$2:$T$201=TRUE))-MIN(FILTER(Orders!$D$2:$D$201,Orders!$I$2:$I$201=B4,Orders!$T$2:$T$201=TRUE)))/(E4-1),""""))"),631.4191203703667)</f>
        <v>631.4191204</v>
      </c>
      <c r="I4" s="20">
        <f>IFERROR(AVERAGEIF(Reviews!$H$2:$H$142,B4,Reviews!$C$2:$C$142),"")</f>
        <v>2.666666667</v>
      </c>
      <c r="J4" s="20">
        <f>SUMIF(Interactions!$B$2:$B$481,B4,Interactions!$I$2:$I$481)</f>
        <v>15</v>
      </c>
      <c r="K4" s="20">
        <f t="shared" si="2"/>
        <v>3</v>
      </c>
      <c r="L4" s="20">
        <f t="shared" si="3"/>
        <v>4</v>
      </c>
      <c r="M4" s="20">
        <f t="shared" si="4"/>
        <v>5</v>
      </c>
      <c r="N4" s="28">
        <f t="shared" si="5"/>
        <v>80</v>
      </c>
      <c r="O4" s="20" t="str">
        <f t="shared" si="6"/>
        <v>Tiềm năng cao</v>
      </c>
      <c r="P4" s="23" t="s">
        <v>2622</v>
      </c>
    </row>
    <row r="5" ht="18.0" customHeight="1">
      <c r="A5" s="26">
        <v>46247.0</v>
      </c>
      <c r="B5" s="23" t="s">
        <v>94</v>
      </c>
      <c r="C5" s="20" t="str">
        <f>IFERROR(VLOOKUP(B5,Customers!$B$2:$L$81,11,FALSE),"")</f>
        <v>EMP004</v>
      </c>
      <c r="D5" s="20">
        <f>IFERROR(__xludf.DUMMYFUNCTION("IFERROR(A5-MAX(FILTER(Orders!$D$2:$D$201,Orders!$I$2:$I$201=B5,Orders!$T$2:$T$201=TRUE)),"""")"),815.6887384259244)</f>
        <v>815.6887384</v>
      </c>
      <c r="E5" s="20">
        <f>COUNTIFS(Orders!$I$2:$I$201,B5,Orders!$T$2:$T$201,TRUE)</f>
        <v>1</v>
      </c>
      <c r="F5" s="28">
        <f>SUMIFS(Orders!$R$2:$R$201,Orders!$I$2:$I$201,B5,Orders!$T$2:$T$201,TRUE)</f>
        <v>2522000</v>
      </c>
      <c r="G5" s="28">
        <f t="shared" si="1"/>
        <v>2522000</v>
      </c>
      <c r="H5" s="28" t="str">
        <f>IFERROR(__xludf.DUMMYFUNCTION("IF(E5&lt;2,"""",IFERROR((MAX(FILTER(Orders!$D$2:$D$201,Orders!$I$2:$I$201=B5,Orders!$T$2:$T$201=TRUE))-MIN(FILTER(Orders!$D$2:$D$201,Orders!$I$2:$I$201=B5,Orders!$T$2:$T$201=TRUE)))/(E5-1),""""))"),"")</f>
        <v/>
      </c>
      <c r="I5" s="20">
        <f>IFERROR(AVERAGEIF(Reviews!$H$2:$H$142,B5,Reviews!$C$2:$C$142),"")</f>
        <v>4</v>
      </c>
      <c r="J5" s="20">
        <f>SUMIF(Interactions!$B$2:$B$481,B5,Interactions!$I$2:$I$481)</f>
        <v>14</v>
      </c>
      <c r="K5" s="20">
        <f t="shared" si="2"/>
        <v>1</v>
      </c>
      <c r="L5" s="20">
        <f t="shared" si="3"/>
        <v>3</v>
      </c>
      <c r="M5" s="20">
        <f t="shared" si="4"/>
        <v>4</v>
      </c>
      <c r="N5" s="28">
        <f t="shared" si="5"/>
        <v>53.6</v>
      </c>
      <c r="O5" s="20" t="str">
        <f t="shared" si="6"/>
        <v>Thông thường</v>
      </c>
      <c r="P5" s="23" t="s">
        <v>2622</v>
      </c>
    </row>
    <row r="6" ht="18.0" customHeight="1">
      <c r="A6" s="26">
        <v>46247.0</v>
      </c>
      <c r="B6" s="23" t="s">
        <v>107</v>
      </c>
      <c r="C6" s="20" t="str">
        <f>IFERROR(VLOOKUP(B6,Customers!$B$2:$L$81,11,FALSE),"")</f>
        <v>EMP005</v>
      </c>
      <c r="D6" s="20">
        <f>IFERROR(__xludf.DUMMYFUNCTION("IFERROR(A6-MAX(FILTER(Orders!$D$2:$D$201,Orders!$I$2:$I$201=B6,Orders!$T$2:$T$201=TRUE)),"""")"),361.53322916666366)</f>
        <v>361.5332292</v>
      </c>
      <c r="E6" s="20">
        <f>COUNTIFS(Orders!$I$2:$I$201,B6,Orders!$T$2:$T$201,TRUE)</f>
        <v>1</v>
      </c>
      <c r="F6" s="28">
        <f>SUMIFS(Orders!$R$2:$R$201,Orders!$I$2:$I$201,B6,Orders!$T$2:$T$201,TRUE)</f>
        <v>1192000</v>
      </c>
      <c r="G6" s="28">
        <f t="shared" si="1"/>
        <v>1192000</v>
      </c>
      <c r="H6" s="28" t="str">
        <f>IFERROR(__xludf.DUMMYFUNCTION("IF(E6&lt;2,"""",IFERROR((MAX(FILTER(Orders!$D$2:$D$201,Orders!$I$2:$I$201=B6,Orders!$T$2:$T$201=TRUE))-MIN(FILTER(Orders!$D$2:$D$201,Orders!$I$2:$I$201=B6,Orders!$T$2:$T$201=TRUE)))/(E6-1),""""))"),"")</f>
        <v/>
      </c>
      <c r="I6" s="20">
        <f>IFERROR(AVERAGEIF(Reviews!$H$2:$H$142,B6,Reviews!$C$2:$C$142),"")</f>
        <v>4</v>
      </c>
      <c r="J6" s="20">
        <f>SUMIF(Interactions!$B$2:$B$481,B6,Interactions!$I$2:$I$481)</f>
        <v>11</v>
      </c>
      <c r="K6" s="20">
        <f t="shared" si="2"/>
        <v>2</v>
      </c>
      <c r="L6" s="20">
        <f t="shared" si="3"/>
        <v>3</v>
      </c>
      <c r="M6" s="20">
        <f t="shared" si="4"/>
        <v>3</v>
      </c>
      <c r="N6" s="28">
        <f t="shared" si="5"/>
        <v>49.4</v>
      </c>
      <c r="O6" s="20" t="str">
        <f t="shared" si="6"/>
        <v>Thông thường</v>
      </c>
      <c r="P6" s="23" t="s">
        <v>2622</v>
      </c>
    </row>
    <row r="7" ht="18.0" customHeight="1">
      <c r="A7" s="26">
        <v>46247.0</v>
      </c>
      <c r="B7" s="23" t="s">
        <v>114</v>
      </c>
      <c r="C7" s="20" t="str">
        <f>IFERROR(VLOOKUP(B7,Customers!$B$2:$L$81,11,FALSE),"")</f>
        <v>EMP006</v>
      </c>
      <c r="D7" s="20">
        <f>IFERROR(__xludf.DUMMYFUNCTION("IFERROR(A7-MAX(FILTER(Orders!$D$2:$D$201,Orders!$I$2:$I$201=B7,Orders!$T$2:$T$201=TRUE)),"""")"),86.40400462962862)</f>
        <v>86.40400463</v>
      </c>
      <c r="E7" s="20">
        <f>COUNTIFS(Orders!$I$2:$I$201,B7,Orders!$T$2:$T$201,TRUE)</f>
        <v>2</v>
      </c>
      <c r="F7" s="28">
        <f>SUMIFS(Orders!$R$2:$R$201,Orders!$I$2:$I$201,B7,Orders!$T$2:$T$201,TRUE)</f>
        <v>1563000</v>
      </c>
      <c r="G7" s="28">
        <f t="shared" si="1"/>
        <v>781500</v>
      </c>
      <c r="H7" s="28">
        <f>IFERROR(__xludf.DUMMYFUNCTION("IF(E7&lt;2,"""",IFERROR((MAX(FILTER(Orders!$D$2:$D$201,Orders!$I$2:$I$201=B7,Orders!$T$2:$T$201=TRUE))-MIN(FILTER(Orders!$D$2:$D$201,Orders!$I$2:$I$201=B7,Orders!$T$2:$T$201=TRUE)))/(E7-1),""""))"),410.41738425925723)</f>
        <v>410.4173843</v>
      </c>
      <c r="I7" s="20">
        <f>IFERROR(AVERAGEIF(Reviews!$H$2:$H$142,B7,Reviews!$C$2:$C$142),"")</f>
        <v>2.666666667</v>
      </c>
      <c r="J7" s="20">
        <f>SUMIF(Interactions!$B$2:$B$481,B7,Interactions!$I$2:$I$481)</f>
        <v>14</v>
      </c>
      <c r="K7" s="20">
        <f t="shared" si="2"/>
        <v>4</v>
      </c>
      <c r="L7" s="20">
        <f t="shared" si="3"/>
        <v>4</v>
      </c>
      <c r="M7" s="20">
        <f t="shared" si="4"/>
        <v>3</v>
      </c>
      <c r="N7" s="28">
        <f t="shared" si="5"/>
        <v>76.6</v>
      </c>
      <c r="O7" s="20" t="str">
        <f t="shared" si="6"/>
        <v>Tiềm năng</v>
      </c>
      <c r="P7" s="23" t="s">
        <v>2622</v>
      </c>
    </row>
    <row r="8" ht="18.0" customHeight="1">
      <c r="A8" s="26">
        <v>46247.0</v>
      </c>
      <c r="B8" s="23" t="s">
        <v>121</v>
      </c>
      <c r="C8" s="20" t="str">
        <f>IFERROR(VLOOKUP(B8,Customers!$B$2:$L$81,11,FALSE),"")</f>
        <v>EMP007</v>
      </c>
      <c r="D8" s="20">
        <f>IFERROR(__xludf.DUMMYFUNCTION("IFERROR(A8-MAX(FILTER(Orders!$D$2:$D$201,Orders!$I$2:$I$201=B8,Orders!$T$2:$T$201=TRUE)),"""")"),125.82817129629984)</f>
        <v>125.8281713</v>
      </c>
      <c r="E8" s="20">
        <f>COUNTIFS(Orders!$I$2:$I$201,B8,Orders!$T$2:$T$201,TRUE)</f>
        <v>1</v>
      </c>
      <c r="F8" s="28">
        <f>SUMIFS(Orders!$R$2:$R$201,Orders!$I$2:$I$201,B8,Orders!$T$2:$T$201,TRUE)</f>
        <v>1443000</v>
      </c>
      <c r="G8" s="28">
        <f t="shared" si="1"/>
        <v>1443000</v>
      </c>
      <c r="H8" s="28" t="str">
        <f>IFERROR(__xludf.DUMMYFUNCTION("IF(E8&lt;2,"""",IFERROR((MAX(FILTER(Orders!$D$2:$D$201,Orders!$I$2:$I$201=B8,Orders!$T$2:$T$201=TRUE))-MIN(FILTER(Orders!$D$2:$D$201,Orders!$I$2:$I$201=B8,Orders!$T$2:$T$201=TRUE)))/(E8-1),""""))"),"")</f>
        <v/>
      </c>
      <c r="I8" s="20">
        <f>IFERROR(AVERAGEIF(Reviews!$H$2:$H$142,B8,Reviews!$C$2:$C$142),"")</f>
        <v>5</v>
      </c>
      <c r="J8" s="20">
        <f>SUMIF(Interactions!$B$2:$B$481,B8,Interactions!$I$2:$I$481)</f>
        <v>12</v>
      </c>
      <c r="K8" s="20">
        <f t="shared" si="2"/>
        <v>3</v>
      </c>
      <c r="L8" s="20">
        <f t="shared" si="3"/>
        <v>3</v>
      </c>
      <c r="M8" s="20">
        <f t="shared" si="4"/>
        <v>3</v>
      </c>
      <c r="N8" s="28">
        <f t="shared" si="5"/>
        <v>58.8</v>
      </c>
      <c r="O8" s="20" t="str">
        <f t="shared" si="6"/>
        <v>Thông thường</v>
      </c>
      <c r="P8" s="23" t="s">
        <v>2622</v>
      </c>
    </row>
    <row r="9" ht="18.0" customHeight="1">
      <c r="A9" s="26">
        <v>46247.0</v>
      </c>
      <c r="B9" s="23" t="s">
        <v>131</v>
      </c>
      <c r="C9" s="20" t="str">
        <f>IFERROR(VLOOKUP(B9,Customers!$B$2:$L$81,11,FALSE),"")</f>
        <v>EMP008</v>
      </c>
      <c r="D9" s="20">
        <f>IFERROR(__xludf.DUMMYFUNCTION("IFERROR(A9-MAX(FILTER(Orders!$D$2:$D$201,Orders!$I$2:$I$201=B9,Orders!$T$2:$T$201=TRUE)),"""")"),347.6227893518517)</f>
        <v>347.6227894</v>
      </c>
      <c r="E9" s="20">
        <f>COUNTIFS(Orders!$I$2:$I$201,B9,Orders!$T$2:$T$201,TRUE)</f>
        <v>4</v>
      </c>
      <c r="F9" s="28">
        <f>SUMIFS(Orders!$R$2:$R$201,Orders!$I$2:$I$201,B9,Orders!$T$2:$T$201,TRUE)</f>
        <v>6855000</v>
      </c>
      <c r="G9" s="28">
        <f t="shared" si="1"/>
        <v>1713750</v>
      </c>
      <c r="H9" s="28">
        <f>IFERROR(__xludf.DUMMYFUNCTION("IF(E9&lt;2,"""",IFERROR((MAX(FILTER(Orders!$D$2:$D$201,Orders!$I$2:$I$201=B9,Orders!$T$2:$T$201=TRUE))-MIN(FILTER(Orders!$D$2:$D$201,Orders!$I$2:$I$201=B9,Orders!$T$2:$T$201=TRUE)))/(E9-1),""""))"),143.83449459876525)</f>
        <v>143.8344946</v>
      </c>
      <c r="I9" s="20">
        <f>IFERROR(AVERAGEIF(Reviews!$H$2:$H$142,B9,Reviews!$C$2:$C$142),"")</f>
        <v>3.75</v>
      </c>
      <c r="J9" s="20">
        <f>SUMIF(Interactions!$B$2:$B$481,B9,Interactions!$I$2:$I$481)</f>
        <v>13</v>
      </c>
      <c r="K9" s="20">
        <f t="shared" si="2"/>
        <v>2</v>
      </c>
      <c r="L9" s="20">
        <f t="shared" si="3"/>
        <v>5</v>
      </c>
      <c r="M9" s="20">
        <f t="shared" si="4"/>
        <v>5</v>
      </c>
      <c r="N9" s="28">
        <f t="shared" si="5"/>
        <v>74.2</v>
      </c>
      <c r="O9" s="20" t="str">
        <f t="shared" si="6"/>
        <v>Tiềm năng</v>
      </c>
      <c r="P9" s="23" t="s">
        <v>2622</v>
      </c>
    </row>
    <row r="10" ht="18.0" customHeight="1">
      <c r="A10" s="26">
        <v>46247.0</v>
      </c>
      <c r="B10" s="23" t="s">
        <v>141</v>
      </c>
      <c r="C10" s="20" t="str">
        <f>IFERROR(VLOOKUP(B10,Customers!$B$2:$L$81,11,FALSE),"")</f>
        <v>EMP001</v>
      </c>
      <c r="D10" s="20">
        <f>IFERROR(__xludf.DUMMYFUNCTION("IFERROR(A10-MAX(FILTER(Orders!$D$2:$D$201,Orders!$I$2:$I$201=B10,Orders!$T$2:$T$201=TRUE)),"""")"),245.41439814814657)</f>
        <v>245.4143981</v>
      </c>
      <c r="E10" s="20">
        <f>COUNTIFS(Orders!$I$2:$I$201,B10,Orders!$T$2:$T$201,TRUE)</f>
        <v>1</v>
      </c>
      <c r="F10" s="28">
        <f>SUMIFS(Orders!$R$2:$R$201,Orders!$I$2:$I$201,B10,Orders!$T$2:$T$201,TRUE)</f>
        <v>3360000</v>
      </c>
      <c r="G10" s="28">
        <f t="shared" si="1"/>
        <v>3360000</v>
      </c>
      <c r="H10" s="28" t="str">
        <f>IFERROR(__xludf.DUMMYFUNCTION("IF(E10&lt;2,"""",IFERROR((MAX(FILTER(Orders!$D$2:$D$201,Orders!$I$2:$I$201=B10,Orders!$T$2:$T$201=TRUE))-MIN(FILTER(Orders!$D$2:$D$201,Orders!$I$2:$I$201=B10,Orders!$T$2:$T$201=TRUE)))/(E10-1),""""))"),"")</f>
        <v/>
      </c>
      <c r="I10" s="20">
        <f>IFERROR(AVERAGEIF(Reviews!$H$2:$H$142,B10,Reviews!$C$2:$C$142),"")</f>
        <v>3</v>
      </c>
      <c r="J10" s="20">
        <f>SUMIF(Interactions!$B$2:$B$481,B10,Interactions!$I$2:$I$481)</f>
        <v>13</v>
      </c>
      <c r="K10" s="20">
        <f t="shared" si="2"/>
        <v>3</v>
      </c>
      <c r="L10" s="20">
        <f t="shared" si="3"/>
        <v>3</v>
      </c>
      <c r="M10" s="20">
        <f t="shared" si="4"/>
        <v>4</v>
      </c>
      <c r="N10" s="28">
        <f t="shared" si="5"/>
        <v>65.2</v>
      </c>
      <c r="O10" s="20" t="str">
        <f t="shared" si="6"/>
        <v>Tiềm năng</v>
      </c>
      <c r="P10" s="23" t="s">
        <v>2622</v>
      </c>
    </row>
    <row r="11" ht="18.0" customHeight="1">
      <c r="A11" s="26">
        <v>46247.0</v>
      </c>
      <c r="B11" s="23" t="s">
        <v>150</v>
      </c>
      <c r="C11" s="20" t="str">
        <f>IFERROR(VLOOKUP(B11,Customers!$B$2:$L$81,11,FALSE),"")</f>
        <v>EMP002</v>
      </c>
      <c r="D11" s="20">
        <f>IFERROR(__xludf.DUMMYFUNCTION("IFERROR(A11-MAX(FILTER(Orders!$D$2:$D$201,Orders!$I$2:$I$201=B11,Orders!$T$2:$T$201=TRUE)),"""")"),523.729895833334)</f>
        <v>523.7298958</v>
      </c>
      <c r="E11" s="20">
        <f>COUNTIFS(Orders!$I$2:$I$201,B11,Orders!$T$2:$T$201,TRUE)</f>
        <v>2</v>
      </c>
      <c r="F11" s="28">
        <f>SUMIFS(Orders!$R$2:$R$201,Orders!$I$2:$I$201,B11,Orders!$T$2:$T$201,TRUE)</f>
        <v>1741000</v>
      </c>
      <c r="G11" s="28">
        <f t="shared" si="1"/>
        <v>870500</v>
      </c>
      <c r="H11" s="28">
        <f>IFERROR(__xludf.DUMMYFUNCTION("IF(E11&lt;2,"""",IFERROR((MAX(FILTER(Orders!$D$2:$D$201,Orders!$I$2:$I$201=B11,Orders!$T$2:$T$201=TRUE))-MIN(FILTER(Orders!$D$2:$D$201,Orders!$I$2:$I$201=B11,Orders!$T$2:$T$201=TRUE)))/(E11-1),""""))"),333.3799884259279)</f>
        <v>333.3799884</v>
      </c>
      <c r="I11" s="20">
        <f>IFERROR(AVERAGEIF(Reviews!$H$2:$H$142,B11,Reviews!$C$2:$C$142),"")</f>
        <v>4.5</v>
      </c>
      <c r="J11" s="20">
        <f>SUMIF(Interactions!$B$2:$B$481,B11,Interactions!$I$2:$I$481)</f>
        <v>10</v>
      </c>
      <c r="K11" s="20">
        <f t="shared" si="2"/>
        <v>1</v>
      </c>
      <c r="L11" s="20">
        <f t="shared" si="3"/>
        <v>4</v>
      </c>
      <c r="M11" s="20">
        <f t="shared" si="4"/>
        <v>3</v>
      </c>
      <c r="N11" s="28">
        <f t="shared" si="5"/>
        <v>46</v>
      </c>
      <c r="O11" s="20" t="str">
        <f t="shared" si="6"/>
        <v>Thông thường</v>
      </c>
      <c r="P11" s="23" t="s">
        <v>2622</v>
      </c>
    </row>
    <row r="12" ht="18.0" customHeight="1">
      <c r="A12" s="26">
        <v>46247.0</v>
      </c>
      <c r="B12" s="23" t="s">
        <v>162</v>
      </c>
      <c r="C12" s="20" t="str">
        <f>IFERROR(VLOOKUP(B12,Customers!$B$2:$L$81,11,FALSE),"")</f>
        <v>EMP003</v>
      </c>
      <c r="D12" s="20" t="str">
        <f>IFERROR(__xludf.DUMMYFUNCTION("IFERROR(A12-MAX(FILTER(Orders!$D$2:$D$201,Orders!$I$2:$I$201=B12,Orders!$T$2:$T$201=TRUE)),"""")"),"")</f>
        <v/>
      </c>
      <c r="E12" s="20">
        <f>COUNTIFS(Orders!$I$2:$I$201,B12,Orders!$T$2:$T$201,TRUE)</f>
        <v>0</v>
      </c>
      <c r="F12" s="28">
        <f>SUMIFS(Orders!$R$2:$R$201,Orders!$I$2:$I$201,B12,Orders!$T$2:$T$201,TRUE)</f>
        <v>0</v>
      </c>
      <c r="G12" s="28">
        <f t="shared" si="1"/>
        <v>0</v>
      </c>
      <c r="H12" s="28" t="str">
        <f>IFERROR(__xludf.DUMMYFUNCTION("IF(E12&lt;2,"""",IFERROR((MAX(FILTER(Orders!$D$2:$D$201,Orders!$I$2:$I$201=B12,Orders!$T$2:$T$201=TRUE))-MIN(FILTER(Orders!$D$2:$D$201,Orders!$I$2:$I$201=B12,Orders!$T$2:$T$201=TRUE)))/(E12-1),""""))"),"")</f>
        <v/>
      </c>
      <c r="I12" s="20" t="str">
        <f>IFERROR(AVERAGEIF(Reviews!$H$2:$H$142,B12,Reviews!$C$2:$C$142),"")</f>
        <v/>
      </c>
      <c r="J12" s="20">
        <f>SUMIF(Interactions!$B$2:$B$481,B12,Interactions!$I$2:$I$481)</f>
        <v>15</v>
      </c>
      <c r="K12" s="20" t="str">
        <f t="shared" si="2"/>
        <v/>
      </c>
      <c r="L12" s="20">
        <f t="shared" si="3"/>
        <v>1</v>
      </c>
      <c r="M12" s="20">
        <f t="shared" si="4"/>
        <v>1</v>
      </c>
      <c r="N12" s="28" t="str">
        <f t="shared" si="5"/>
        <v/>
      </c>
      <c r="O12" s="20" t="str">
        <f t="shared" si="6"/>
        <v>Chưa đủ dữ liệu</v>
      </c>
      <c r="P12" s="23" t="s">
        <v>2622</v>
      </c>
    </row>
    <row r="13" ht="18.0" customHeight="1">
      <c r="A13" s="26">
        <v>46247.0</v>
      </c>
      <c r="B13" s="23" t="s">
        <v>170</v>
      </c>
      <c r="C13" s="20" t="str">
        <f>IFERROR(VLOOKUP(B13,Customers!$B$2:$L$81,11,FALSE),"")</f>
        <v>EMP004</v>
      </c>
      <c r="D13" s="20">
        <f>IFERROR(__xludf.DUMMYFUNCTION("IFERROR(A13-MAX(FILTER(Orders!$D$2:$D$201,Orders!$I$2:$I$201=B13,Orders!$T$2:$T$201=TRUE)),"""")"),265.56388888888614)</f>
        <v>265.5638889</v>
      </c>
      <c r="E13" s="20">
        <f>COUNTIFS(Orders!$I$2:$I$201,B13,Orders!$T$2:$T$201,TRUE)</f>
        <v>2</v>
      </c>
      <c r="F13" s="28">
        <f>SUMIFS(Orders!$R$2:$R$201,Orders!$I$2:$I$201,B13,Orders!$T$2:$T$201,TRUE)</f>
        <v>4279000</v>
      </c>
      <c r="G13" s="28">
        <f t="shared" si="1"/>
        <v>2139500</v>
      </c>
      <c r="H13" s="28">
        <f>IFERROR(__xludf.DUMMYFUNCTION("IF(E13&lt;2,"""",IFERROR((MAX(FILTER(Orders!$D$2:$D$201,Orders!$I$2:$I$201=B13,Orders!$T$2:$T$201=TRUE))-MIN(FILTER(Orders!$D$2:$D$201,Orders!$I$2:$I$201=B13,Orders!$T$2:$T$201=TRUE)))/(E13-1),""""))"),114.53442129629548)</f>
        <v>114.5344213</v>
      </c>
      <c r="I13" s="20">
        <f>IFERROR(AVERAGEIF(Reviews!$H$2:$H$142,B13,Reviews!$C$2:$C$142),"")</f>
        <v>4</v>
      </c>
      <c r="J13" s="20">
        <f>SUMIF(Interactions!$B$2:$B$481,B13,Interactions!$I$2:$I$481)</f>
        <v>14</v>
      </c>
      <c r="K13" s="20">
        <f t="shared" si="2"/>
        <v>2</v>
      </c>
      <c r="L13" s="20">
        <f t="shared" si="3"/>
        <v>4</v>
      </c>
      <c r="M13" s="20">
        <f t="shared" si="4"/>
        <v>4</v>
      </c>
      <c r="N13" s="28">
        <f t="shared" si="5"/>
        <v>66.6</v>
      </c>
      <c r="O13" s="20" t="str">
        <f t="shared" si="6"/>
        <v>Tiềm năng</v>
      </c>
      <c r="P13" s="23" t="s">
        <v>2622</v>
      </c>
    </row>
    <row r="14" ht="18.0" customHeight="1">
      <c r="A14" s="26">
        <v>46247.0</v>
      </c>
      <c r="B14" s="23" t="s">
        <v>182</v>
      </c>
      <c r="C14" s="20" t="str">
        <f>IFERROR(VLOOKUP(B14,Customers!$B$2:$L$81,11,FALSE),"")</f>
        <v>EMP005</v>
      </c>
      <c r="D14" s="20">
        <f>IFERROR(__xludf.DUMMYFUNCTION("IFERROR(A14-MAX(FILTER(Orders!$D$2:$D$201,Orders!$I$2:$I$201=B14,Orders!$T$2:$T$201=TRUE)),"""")"),98.88432870370161)</f>
        <v>98.8843287</v>
      </c>
      <c r="E14" s="20">
        <f>COUNTIFS(Orders!$I$2:$I$201,B14,Orders!$T$2:$T$201,TRUE)</f>
        <v>4</v>
      </c>
      <c r="F14" s="28">
        <f>SUMIFS(Orders!$R$2:$R$201,Orders!$I$2:$I$201,B14,Orders!$T$2:$T$201,TRUE)</f>
        <v>8444000</v>
      </c>
      <c r="G14" s="28">
        <f t="shared" si="1"/>
        <v>2111000</v>
      </c>
      <c r="H14" s="28">
        <f>IFERROR(__xludf.DUMMYFUNCTION("IF(E14&lt;2,"""",IFERROR((MAX(FILTER(Orders!$D$2:$D$201,Orders!$I$2:$I$201=B14,Orders!$T$2:$T$201=TRUE))-MIN(FILTER(Orders!$D$2:$D$201,Orders!$I$2:$I$201=B14,Orders!$T$2:$T$201=TRUE)))/(E14-1),""""))"),228.60295524691415)</f>
        <v>228.6029552</v>
      </c>
      <c r="I14" s="20">
        <f>IFERROR(AVERAGEIF(Reviews!$H$2:$H$142,B14,Reviews!$C$2:$C$142),"")</f>
        <v>4.333333333</v>
      </c>
      <c r="J14" s="20">
        <f>SUMIF(Interactions!$B$2:$B$481,B14,Interactions!$I$2:$I$481)</f>
        <v>11</v>
      </c>
      <c r="K14" s="20">
        <f t="shared" si="2"/>
        <v>3</v>
      </c>
      <c r="L14" s="20">
        <f t="shared" si="3"/>
        <v>5</v>
      </c>
      <c r="M14" s="20">
        <f t="shared" si="4"/>
        <v>5</v>
      </c>
      <c r="N14" s="28">
        <f t="shared" si="5"/>
        <v>76.4</v>
      </c>
      <c r="O14" s="20" t="str">
        <f t="shared" si="6"/>
        <v>Tiềm năng</v>
      </c>
      <c r="P14" s="23" t="s">
        <v>2622</v>
      </c>
    </row>
    <row r="15" ht="18.0" customHeight="1">
      <c r="A15" s="26">
        <v>46247.0</v>
      </c>
      <c r="B15" s="23" t="s">
        <v>190</v>
      </c>
      <c r="C15" s="20" t="str">
        <f>IFERROR(VLOOKUP(B15,Customers!$B$2:$L$81,11,FALSE),"")</f>
        <v>EMP006</v>
      </c>
      <c r="D15" s="20">
        <f>IFERROR(__xludf.DUMMYFUNCTION("IFERROR(A15-MAX(FILTER(Orders!$D$2:$D$201,Orders!$I$2:$I$201=B15,Orders!$T$2:$T$201=TRUE)),"""")"),185.62101851851912)</f>
        <v>185.6210185</v>
      </c>
      <c r="E15" s="20">
        <f>COUNTIFS(Orders!$I$2:$I$201,B15,Orders!$T$2:$T$201,TRUE)</f>
        <v>4</v>
      </c>
      <c r="F15" s="28">
        <f>SUMIFS(Orders!$R$2:$R$201,Orders!$I$2:$I$201,B15,Orders!$T$2:$T$201,TRUE)</f>
        <v>6325000</v>
      </c>
      <c r="G15" s="28">
        <f t="shared" si="1"/>
        <v>1581250</v>
      </c>
      <c r="H15" s="28">
        <f>IFERROR(__xludf.DUMMYFUNCTION("IF(E15&lt;2,"""",IFERROR((MAX(FILTER(Orders!$D$2:$D$201,Orders!$I$2:$I$201=B15,Orders!$T$2:$T$201=TRUE))-MIN(FILTER(Orders!$D$2:$D$201,Orders!$I$2:$I$201=B15,Orders!$T$2:$T$201=TRUE)))/(E15-1),""""))"),237.93795910493887)</f>
        <v>237.9379591</v>
      </c>
      <c r="I15" s="20">
        <f>IFERROR(AVERAGEIF(Reviews!$H$2:$H$142,B15,Reviews!$C$2:$C$142),"")</f>
        <v>3.666666667</v>
      </c>
      <c r="J15" s="20">
        <f>SUMIF(Interactions!$B$2:$B$481,B15,Interactions!$I$2:$I$481)</f>
        <v>14</v>
      </c>
      <c r="K15" s="20">
        <f t="shared" si="2"/>
        <v>3</v>
      </c>
      <c r="L15" s="20">
        <f t="shared" si="3"/>
        <v>5</v>
      </c>
      <c r="M15" s="20">
        <f t="shared" si="4"/>
        <v>5</v>
      </c>
      <c r="N15" s="28">
        <f t="shared" si="5"/>
        <v>83.6</v>
      </c>
      <c r="O15" s="20" t="str">
        <f t="shared" si="6"/>
        <v>Tiềm năng cao</v>
      </c>
      <c r="P15" s="23" t="s">
        <v>2622</v>
      </c>
    </row>
    <row r="16" ht="18.0" customHeight="1">
      <c r="A16" s="26">
        <v>46247.0</v>
      </c>
      <c r="B16" s="23" t="s">
        <v>201</v>
      </c>
      <c r="C16" s="20" t="str">
        <f>IFERROR(VLOOKUP(B16,Customers!$B$2:$L$81,11,FALSE),"")</f>
        <v>EMP007</v>
      </c>
      <c r="D16" s="20">
        <f>IFERROR(__xludf.DUMMYFUNCTION("IFERROR(A16-MAX(FILTER(Orders!$D$2:$D$201,Orders!$I$2:$I$201=B16,Orders!$T$2:$T$201=TRUE)),"""")"),740.6040972222254)</f>
        <v>740.6040972</v>
      </c>
      <c r="E16" s="20">
        <f>COUNTIFS(Orders!$I$2:$I$201,B16,Orders!$T$2:$T$201,TRUE)</f>
        <v>2</v>
      </c>
      <c r="F16" s="28">
        <f>SUMIFS(Orders!$R$2:$R$201,Orders!$I$2:$I$201,B16,Orders!$T$2:$T$201,TRUE)</f>
        <v>2569000</v>
      </c>
      <c r="G16" s="28">
        <f t="shared" si="1"/>
        <v>1284500</v>
      </c>
      <c r="H16" s="28">
        <f>IFERROR(__xludf.DUMMYFUNCTION("IF(E16&lt;2,"""",IFERROR((MAX(FILTER(Orders!$D$2:$D$201,Orders!$I$2:$I$201=B16,Orders!$T$2:$T$201=TRUE))-MIN(FILTER(Orders!$D$2:$D$201,Orders!$I$2:$I$201=B16,Orders!$T$2:$T$201=TRUE)))/(E16-1),""""))"),164.10009259259095)</f>
        <v>164.1000926</v>
      </c>
      <c r="I16" s="20">
        <f>IFERROR(AVERAGEIF(Reviews!$H$2:$H$142,B16,Reviews!$C$2:$C$142),"")</f>
        <v>4</v>
      </c>
      <c r="J16" s="20">
        <f>SUMIF(Interactions!$B$2:$B$481,B16,Interactions!$I$2:$I$481)</f>
        <v>12</v>
      </c>
      <c r="K16" s="20">
        <f t="shared" si="2"/>
        <v>1</v>
      </c>
      <c r="L16" s="20">
        <f t="shared" si="3"/>
        <v>4</v>
      </c>
      <c r="M16" s="20">
        <f t="shared" si="4"/>
        <v>4</v>
      </c>
      <c r="N16" s="28">
        <f t="shared" si="5"/>
        <v>54.8</v>
      </c>
      <c r="O16" s="20" t="str">
        <f t="shared" si="6"/>
        <v>Thông thường</v>
      </c>
      <c r="P16" s="23" t="s">
        <v>2622</v>
      </c>
    </row>
    <row r="17" ht="18.0" customHeight="1">
      <c r="A17" s="26">
        <v>46247.0</v>
      </c>
      <c r="B17" s="23" t="s">
        <v>213</v>
      </c>
      <c r="C17" s="20" t="str">
        <f>IFERROR(VLOOKUP(B17,Customers!$B$2:$L$81,11,FALSE),"")</f>
        <v>EMP008</v>
      </c>
      <c r="D17" s="20">
        <f>IFERROR(__xludf.DUMMYFUNCTION("IFERROR(A17-MAX(FILTER(Orders!$D$2:$D$201,Orders!$I$2:$I$201=B17,Orders!$T$2:$T$201=TRUE)),"""")"),74.73663194444089)</f>
        <v>74.73663194</v>
      </c>
      <c r="E17" s="20">
        <f>COUNTIFS(Orders!$I$2:$I$201,B17,Orders!$T$2:$T$201,TRUE)</f>
        <v>4</v>
      </c>
      <c r="F17" s="28">
        <f>SUMIFS(Orders!$R$2:$R$201,Orders!$I$2:$I$201,B17,Orders!$T$2:$T$201,TRUE)</f>
        <v>7869000</v>
      </c>
      <c r="G17" s="28">
        <f t="shared" si="1"/>
        <v>1967250</v>
      </c>
      <c r="H17" s="28">
        <f>IFERROR(__xludf.DUMMYFUNCTION("IF(E17&lt;2,"""",IFERROR((MAX(FILTER(Orders!$D$2:$D$201,Orders!$I$2:$I$201=B17,Orders!$T$2:$T$201=TRUE))-MIN(FILTER(Orders!$D$2:$D$201,Orders!$I$2:$I$201=B17,Orders!$T$2:$T$201=TRUE)))/(E17-1),""""))"),290.496763117284)</f>
        <v>290.4967631</v>
      </c>
      <c r="I17" s="20">
        <f>IFERROR(AVERAGEIF(Reviews!$H$2:$H$142,B17,Reviews!$C$2:$C$142),"")</f>
        <v>4.2</v>
      </c>
      <c r="J17" s="20">
        <f>SUMIF(Interactions!$B$2:$B$481,B17,Interactions!$I$2:$I$481)</f>
        <v>13</v>
      </c>
      <c r="K17" s="20">
        <f t="shared" si="2"/>
        <v>4</v>
      </c>
      <c r="L17" s="20">
        <f t="shared" si="3"/>
        <v>5</v>
      </c>
      <c r="M17" s="20">
        <f t="shared" si="4"/>
        <v>5</v>
      </c>
      <c r="N17" s="28">
        <f t="shared" si="5"/>
        <v>88.2</v>
      </c>
      <c r="O17" s="20" t="str">
        <f t="shared" si="6"/>
        <v>Tiềm năng cao</v>
      </c>
      <c r="P17" s="23" t="s">
        <v>2622</v>
      </c>
    </row>
    <row r="18" ht="18.0" customHeight="1">
      <c r="A18" s="26">
        <v>46247.0</v>
      </c>
      <c r="B18" s="23" t="s">
        <v>221</v>
      </c>
      <c r="C18" s="20" t="str">
        <f>IFERROR(VLOOKUP(B18,Customers!$B$2:$L$81,11,FALSE),"")</f>
        <v>EMP001</v>
      </c>
      <c r="D18" s="20">
        <f>IFERROR(__xludf.DUMMYFUNCTION("IFERROR(A18-MAX(FILTER(Orders!$D$2:$D$201,Orders!$I$2:$I$201=B18,Orders!$T$2:$T$201=TRUE)),"""")"),462.4115393518514)</f>
        <v>462.4115394</v>
      </c>
      <c r="E18" s="20">
        <f>COUNTIFS(Orders!$I$2:$I$201,B18,Orders!$T$2:$T$201,TRUE)</f>
        <v>2</v>
      </c>
      <c r="F18" s="28">
        <f>SUMIFS(Orders!$R$2:$R$201,Orders!$I$2:$I$201,B18,Orders!$T$2:$T$201,TRUE)</f>
        <v>3544000</v>
      </c>
      <c r="G18" s="28">
        <f t="shared" si="1"/>
        <v>1772000</v>
      </c>
      <c r="H18" s="28">
        <f>IFERROR(__xludf.DUMMYFUNCTION("IF(E18&lt;2,"""",IFERROR((MAX(FILTER(Orders!$D$2:$D$201,Orders!$I$2:$I$201=B18,Orders!$T$2:$T$201=TRUE))-MIN(FILTER(Orders!$D$2:$D$201,Orders!$I$2:$I$201=B18,Orders!$T$2:$T$201=TRUE)))/(E18-1),""""))"),376.0384259259299)</f>
        <v>376.0384259</v>
      </c>
      <c r="I18" s="20">
        <f>IFERROR(AVERAGEIF(Reviews!$H$2:$H$142,B18,Reviews!$C$2:$C$142),"")</f>
        <v>3.5</v>
      </c>
      <c r="J18" s="20">
        <f>SUMIF(Interactions!$B$2:$B$481,B18,Interactions!$I$2:$I$481)</f>
        <v>13</v>
      </c>
      <c r="K18" s="20">
        <f t="shared" si="2"/>
        <v>1</v>
      </c>
      <c r="L18" s="20">
        <f t="shared" si="3"/>
        <v>4</v>
      </c>
      <c r="M18" s="20">
        <f t="shared" si="4"/>
        <v>4</v>
      </c>
      <c r="N18" s="28">
        <f t="shared" si="5"/>
        <v>57.2</v>
      </c>
      <c r="O18" s="20" t="str">
        <f t="shared" si="6"/>
        <v>Thông thường</v>
      </c>
      <c r="P18" s="23" t="s">
        <v>2622</v>
      </c>
    </row>
    <row r="19" ht="18.0" customHeight="1">
      <c r="A19" s="26">
        <v>46247.0</v>
      </c>
      <c r="B19" s="23" t="s">
        <v>229</v>
      </c>
      <c r="C19" s="20" t="str">
        <f>IFERROR(VLOOKUP(B19,Customers!$B$2:$L$81,11,FALSE),"")</f>
        <v>EMP002</v>
      </c>
      <c r="D19" s="20">
        <f>IFERROR(__xludf.DUMMYFUNCTION("IFERROR(A19-MAX(FILTER(Orders!$D$2:$D$201,Orders!$I$2:$I$201=B19,Orders!$T$2:$T$201=TRUE)),"""")"),309.24509259259503)</f>
        <v>309.2450926</v>
      </c>
      <c r="E19" s="20">
        <f>COUNTIFS(Orders!$I$2:$I$201,B19,Orders!$T$2:$T$201,TRUE)</f>
        <v>2</v>
      </c>
      <c r="F19" s="28">
        <f>SUMIFS(Orders!$R$2:$R$201,Orders!$I$2:$I$201,B19,Orders!$T$2:$T$201,TRUE)</f>
        <v>3366000</v>
      </c>
      <c r="G19" s="28">
        <f t="shared" si="1"/>
        <v>1683000</v>
      </c>
      <c r="H19" s="28">
        <f>IFERROR(__xludf.DUMMYFUNCTION("IF(E19&lt;2,"""",IFERROR((MAX(FILTER(Orders!$D$2:$D$201,Orders!$I$2:$I$201=B19,Orders!$T$2:$T$201=TRUE))-MIN(FILTER(Orders!$D$2:$D$201,Orders!$I$2:$I$201=B19,Orders!$T$2:$T$201=TRUE)))/(E19-1),""""))"),402.778090277774)</f>
        <v>402.7780903</v>
      </c>
      <c r="I19" s="20">
        <f>IFERROR(AVERAGEIF(Reviews!$H$2:$H$142,B19,Reviews!$C$2:$C$142),"")</f>
        <v>5</v>
      </c>
      <c r="J19" s="20">
        <f>SUMIF(Interactions!$B$2:$B$481,B19,Interactions!$I$2:$I$481)</f>
        <v>10</v>
      </c>
      <c r="K19" s="20">
        <f t="shared" si="2"/>
        <v>2</v>
      </c>
      <c r="L19" s="20">
        <f t="shared" si="3"/>
        <v>4</v>
      </c>
      <c r="M19" s="20">
        <f t="shared" si="4"/>
        <v>4</v>
      </c>
      <c r="N19" s="28">
        <f t="shared" si="5"/>
        <v>57</v>
      </c>
      <c r="O19" s="20" t="str">
        <f t="shared" si="6"/>
        <v>Thông thường</v>
      </c>
      <c r="P19" s="23" t="s">
        <v>2622</v>
      </c>
    </row>
    <row r="20" ht="18.0" customHeight="1">
      <c r="A20" s="26">
        <v>46247.0</v>
      </c>
      <c r="B20" s="23" t="s">
        <v>236</v>
      </c>
      <c r="C20" s="20" t="str">
        <f>IFERROR(VLOOKUP(B20,Customers!$B$2:$L$81,11,FALSE),"")</f>
        <v>EMP003</v>
      </c>
      <c r="D20" s="20">
        <f>IFERROR(__xludf.DUMMYFUNCTION("IFERROR(A20-MAX(FILTER(Orders!$D$2:$D$201,Orders!$I$2:$I$201=B20,Orders!$T$2:$T$201=TRUE)),"""")"),656.4100347222193)</f>
        <v>656.4100347</v>
      </c>
      <c r="E20" s="20">
        <f>COUNTIFS(Orders!$I$2:$I$201,B20,Orders!$T$2:$T$201,TRUE)</f>
        <v>1</v>
      </c>
      <c r="F20" s="28">
        <f>SUMIFS(Orders!$R$2:$R$201,Orders!$I$2:$I$201,B20,Orders!$T$2:$T$201,TRUE)</f>
        <v>2308000</v>
      </c>
      <c r="G20" s="28">
        <f t="shared" si="1"/>
        <v>2308000</v>
      </c>
      <c r="H20" s="28" t="str">
        <f>IFERROR(__xludf.DUMMYFUNCTION("IF(E20&lt;2,"""",IFERROR((MAX(FILTER(Orders!$D$2:$D$201,Orders!$I$2:$I$201=B20,Orders!$T$2:$T$201=TRUE))-MIN(FILTER(Orders!$D$2:$D$201,Orders!$I$2:$I$201=B20,Orders!$T$2:$T$201=TRUE)))/(E20-1),""""))"),"")</f>
        <v/>
      </c>
      <c r="I20" s="20">
        <f>IFERROR(AVERAGEIF(Reviews!$H$2:$H$142,B20,Reviews!$C$2:$C$142),"")</f>
        <v>3</v>
      </c>
      <c r="J20" s="20">
        <f>SUMIF(Interactions!$B$2:$B$481,B20,Interactions!$I$2:$I$481)</f>
        <v>15</v>
      </c>
      <c r="K20" s="20">
        <f t="shared" si="2"/>
        <v>1</v>
      </c>
      <c r="L20" s="20">
        <f t="shared" si="3"/>
        <v>3</v>
      </c>
      <c r="M20" s="20">
        <f t="shared" si="4"/>
        <v>3</v>
      </c>
      <c r="N20" s="28">
        <f t="shared" si="5"/>
        <v>52</v>
      </c>
      <c r="O20" s="20" t="str">
        <f t="shared" si="6"/>
        <v>Thông thường</v>
      </c>
      <c r="P20" s="23" t="s">
        <v>2622</v>
      </c>
    </row>
    <row r="21" ht="18.0" customHeight="1">
      <c r="A21" s="26">
        <v>46247.0</v>
      </c>
      <c r="B21" s="23" t="s">
        <v>246</v>
      </c>
      <c r="C21" s="20" t="str">
        <f>IFERROR(VLOOKUP(B21,Customers!$B$2:$L$81,11,FALSE),"")</f>
        <v>EMP004</v>
      </c>
      <c r="D21" s="20">
        <f>IFERROR(__xludf.DUMMYFUNCTION("IFERROR(A21-MAX(FILTER(Orders!$D$2:$D$201,Orders!$I$2:$I$201=B21,Orders!$T$2:$T$201=TRUE)),"""")"),33.32013888889196)</f>
        <v>33.32013889</v>
      </c>
      <c r="E21" s="20">
        <f>COUNTIFS(Orders!$I$2:$I$201,B21,Orders!$T$2:$T$201,TRUE)</f>
        <v>2</v>
      </c>
      <c r="F21" s="28">
        <f>SUMIFS(Orders!$R$2:$R$201,Orders!$I$2:$I$201,B21,Orders!$T$2:$T$201,TRUE)</f>
        <v>3724000</v>
      </c>
      <c r="G21" s="28">
        <f t="shared" si="1"/>
        <v>1862000</v>
      </c>
      <c r="H21" s="28">
        <f>IFERROR(__xludf.DUMMYFUNCTION("IF(E21&lt;2,"""",IFERROR((MAX(FILTER(Orders!$D$2:$D$201,Orders!$I$2:$I$201=B21,Orders!$T$2:$T$201=TRUE))-MIN(FILTER(Orders!$D$2:$D$201,Orders!$I$2:$I$201=B21,Orders!$T$2:$T$201=TRUE)))/(E21-1),""""))"),690.8458912037022)</f>
        <v>690.8458912</v>
      </c>
      <c r="I21" s="20">
        <f>IFERROR(AVERAGEIF(Reviews!$H$2:$H$142,B21,Reviews!$C$2:$C$142),"")</f>
        <v>4.5</v>
      </c>
      <c r="J21" s="20">
        <f>SUMIF(Interactions!$B$2:$B$481,B21,Interactions!$I$2:$I$481)</f>
        <v>14</v>
      </c>
      <c r="K21" s="20">
        <f t="shared" si="2"/>
        <v>4</v>
      </c>
      <c r="L21" s="20">
        <f t="shared" si="3"/>
        <v>4</v>
      </c>
      <c r="M21" s="20">
        <f t="shared" si="4"/>
        <v>4</v>
      </c>
      <c r="N21" s="28">
        <f t="shared" si="5"/>
        <v>80.6</v>
      </c>
      <c r="O21" s="20" t="str">
        <f t="shared" si="6"/>
        <v>Tiềm năng cao</v>
      </c>
      <c r="P21" s="23" t="s">
        <v>2622</v>
      </c>
    </row>
    <row r="22" ht="18.0" customHeight="1">
      <c r="A22" s="26">
        <v>46247.0</v>
      </c>
      <c r="B22" s="23" t="s">
        <v>256</v>
      </c>
      <c r="C22" s="20" t="str">
        <f>IFERROR(VLOOKUP(B22,Customers!$B$2:$L$81,11,FALSE),"")</f>
        <v>EMP005</v>
      </c>
      <c r="D22" s="20">
        <f>IFERROR(__xludf.DUMMYFUNCTION("IFERROR(A22-MAX(FILTER(Orders!$D$2:$D$201,Orders!$I$2:$I$201=B22,Orders!$T$2:$T$201=TRUE)),"""")"),400.8153125000026)</f>
        <v>400.8153125</v>
      </c>
      <c r="E22" s="20">
        <f>COUNTIFS(Orders!$I$2:$I$201,B22,Orders!$T$2:$T$201,TRUE)</f>
        <v>1</v>
      </c>
      <c r="F22" s="28">
        <f>SUMIFS(Orders!$R$2:$R$201,Orders!$I$2:$I$201,B22,Orders!$T$2:$T$201,TRUE)</f>
        <v>3200000</v>
      </c>
      <c r="G22" s="28">
        <f t="shared" si="1"/>
        <v>3200000</v>
      </c>
      <c r="H22" s="28" t="str">
        <f>IFERROR(__xludf.DUMMYFUNCTION("IF(E22&lt;2,"""",IFERROR((MAX(FILTER(Orders!$D$2:$D$201,Orders!$I$2:$I$201=B22,Orders!$T$2:$T$201=TRUE))-MIN(FILTER(Orders!$D$2:$D$201,Orders!$I$2:$I$201=B22,Orders!$T$2:$T$201=TRUE)))/(E22-1),""""))"),"")</f>
        <v/>
      </c>
      <c r="I22" s="20" t="str">
        <f>IFERROR(AVERAGEIF(Reviews!$H$2:$H$142,B22,Reviews!$C$2:$C$142),"")</f>
        <v/>
      </c>
      <c r="J22" s="20">
        <f>SUMIF(Interactions!$B$2:$B$481,B22,Interactions!$I$2:$I$481)</f>
        <v>11</v>
      </c>
      <c r="K22" s="20">
        <f t="shared" si="2"/>
        <v>1</v>
      </c>
      <c r="L22" s="20">
        <f t="shared" si="3"/>
        <v>3</v>
      </c>
      <c r="M22" s="20">
        <f t="shared" si="4"/>
        <v>4</v>
      </c>
      <c r="N22" s="28">
        <f t="shared" si="5"/>
        <v>46.4</v>
      </c>
      <c r="O22" s="20" t="str">
        <f t="shared" si="6"/>
        <v>Thông thường</v>
      </c>
      <c r="P22" s="23" t="s">
        <v>2622</v>
      </c>
    </row>
    <row r="23" ht="18.0" customHeight="1">
      <c r="A23" s="26">
        <v>46247.0</v>
      </c>
      <c r="B23" s="23" t="s">
        <v>267</v>
      </c>
      <c r="C23" s="20" t="str">
        <f>IFERROR(VLOOKUP(B23,Customers!$B$2:$L$81,11,FALSE),"")</f>
        <v>EMP006</v>
      </c>
      <c r="D23" s="20">
        <f>IFERROR(__xludf.DUMMYFUNCTION("IFERROR(A23-MAX(FILTER(Orders!$D$2:$D$201,Orders!$I$2:$I$201=B23,Orders!$T$2:$T$201=TRUE)),"""")"),386.75449074074277)</f>
        <v>386.7544907</v>
      </c>
      <c r="E23" s="20">
        <f>COUNTIFS(Orders!$I$2:$I$201,B23,Orders!$T$2:$T$201,TRUE)</f>
        <v>4</v>
      </c>
      <c r="F23" s="28">
        <f>SUMIFS(Orders!$R$2:$R$201,Orders!$I$2:$I$201,B23,Orders!$T$2:$T$201,TRUE)</f>
        <v>3879000</v>
      </c>
      <c r="G23" s="28">
        <f t="shared" si="1"/>
        <v>969750</v>
      </c>
      <c r="H23" s="28">
        <f>IFERROR(__xludf.DUMMYFUNCTION("IF(E23&lt;2,"""",IFERROR((MAX(FILTER(Orders!$D$2:$D$201,Orders!$I$2:$I$201=B23,Orders!$T$2:$T$201=TRUE))-MIN(FILTER(Orders!$D$2:$D$201,Orders!$I$2:$I$201=B23,Orders!$T$2:$T$201=TRUE)))/(E23-1),""""))"),181.55102623456818)</f>
        <v>181.5510262</v>
      </c>
      <c r="I23" s="20">
        <f>IFERROR(AVERAGEIF(Reviews!$H$2:$H$142,B23,Reviews!$C$2:$C$142),"")</f>
        <v>4.25</v>
      </c>
      <c r="J23" s="20">
        <f>SUMIF(Interactions!$B$2:$B$481,B23,Interactions!$I$2:$I$481)</f>
        <v>14</v>
      </c>
      <c r="K23" s="20">
        <f t="shared" si="2"/>
        <v>2</v>
      </c>
      <c r="L23" s="20">
        <f t="shared" si="3"/>
        <v>5</v>
      </c>
      <c r="M23" s="20">
        <f t="shared" si="4"/>
        <v>4</v>
      </c>
      <c r="N23" s="28">
        <f t="shared" si="5"/>
        <v>72.6</v>
      </c>
      <c r="O23" s="20" t="str">
        <f t="shared" si="6"/>
        <v>Tiềm năng</v>
      </c>
      <c r="P23" s="23" t="s">
        <v>2622</v>
      </c>
    </row>
    <row r="24" ht="18.0" customHeight="1">
      <c r="A24" s="26">
        <v>46247.0</v>
      </c>
      <c r="B24" s="23" t="s">
        <v>277</v>
      </c>
      <c r="C24" s="20" t="str">
        <f>IFERROR(VLOOKUP(B24,Customers!$B$2:$L$81,11,FALSE),"")</f>
        <v>EMP007</v>
      </c>
      <c r="D24" s="20">
        <f>IFERROR(__xludf.DUMMYFUNCTION("IFERROR(A24-MAX(FILTER(Orders!$D$2:$D$201,Orders!$I$2:$I$201=B24,Orders!$T$2:$T$201=TRUE)),"""")"),105.95427083333198)</f>
        <v>105.9542708</v>
      </c>
      <c r="E24" s="20">
        <f>COUNTIFS(Orders!$I$2:$I$201,B24,Orders!$T$2:$T$201,TRUE)</f>
        <v>4</v>
      </c>
      <c r="F24" s="28">
        <f>SUMIFS(Orders!$R$2:$R$201,Orders!$I$2:$I$201,B24,Orders!$T$2:$T$201,TRUE)</f>
        <v>8324000</v>
      </c>
      <c r="G24" s="28">
        <f t="shared" si="1"/>
        <v>2081000</v>
      </c>
      <c r="H24" s="28">
        <f>IFERROR(__xludf.DUMMYFUNCTION("IF(E24&lt;2,"""",IFERROR((MAX(FILTER(Orders!$D$2:$D$201,Orders!$I$2:$I$201=B24,Orders!$T$2:$T$201=TRUE))-MIN(FILTER(Orders!$D$2:$D$201,Orders!$I$2:$I$201=B24,Orders!$T$2:$T$201=TRUE)))/(E24-1),""""))"),251.15832175926093)</f>
        <v>251.1583218</v>
      </c>
      <c r="I24" s="20">
        <f>IFERROR(AVERAGEIF(Reviews!$H$2:$H$142,B24,Reviews!$C$2:$C$142),"")</f>
        <v>3.25</v>
      </c>
      <c r="J24" s="20">
        <f>SUMIF(Interactions!$B$2:$B$481,B24,Interactions!$I$2:$I$481)</f>
        <v>12</v>
      </c>
      <c r="K24" s="20">
        <f t="shared" si="2"/>
        <v>3</v>
      </c>
      <c r="L24" s="20">
        <f t="shared" si="3"/>
        <v>5</v>
      </c>
      <c r="M24" s="20">
        <f t="shared" si="4"/>
        <v>5</v>
      </c>
      <c r="N24" s="28">
        <f t="shared" si="5"/>
        <v>78.8</v>
      </c>
      <c r="O24" s="20" t="str">
        <f t="shared" si="6"/>
        <v>Tiềm năng</v>
      </c>
      <c r="P24" s="23" t="s">
        <v>2622</v>
      </c>
    </row>
    <row r="25" ht="18.0" customHeight="1">
      <c r="A25" s="26">
        <v>46247.0</v>
      </c>
      <c r="B25" s="23" t="s">
        <v>285</v>
      </c>
      <c r="C25" s="20" t="str">
        <f>IFERROR(VLOOKUP(B25,Customers!$B$2:$L$81,11,FALSE),"")</f>
        <v>EMP008</v>
      </c>
      <c r="D25" s="20">
        <f>IFERROR(__xludf.DUMMYFUNCTION("IFERROR(A25-MAX(FILTER(Orders!$D$2:$D$201,Orders!$I$2:$I$201=B25,Orders!$T$2:$T$201=TRUE)),"""")"),757.2750000000015)</f>
        <v>757.275</v>
      </c>
      <c r="E25" s="20">
        <f>COUNTIFS(Orders!$I$2:$I$201,B25,Orders!$T$2:$T$201,TRUE)</f>
        <v>1</v>
      </c>
      <c r="F25" s="28">
        <f>SUMIFS(Orders!$R$2:$R$201,Orders!$I$2:$I$201,B25,Orders!$T$2:$T$201,TRUE)</f>
        <v>1243000</v>
      </c>
      <c r="G25" s="28">
        <f t="shared" si="1"/>
        <v>1243000</v>
      </c>
      <c r="H25" s="28" t="str">
        <f>IFERROR(__xludf.DUMMYFUNCTION("IF(E25&lt;2,"""",IFERROR((MAX(FILTER(Orders!$D$2:$D$201,Orders!$I$2:$I$201=B25,Orders!$T$2:$T$201=TRUE))-MIN(FILTER(Orders!$D$2:$D$201,Orders!$I$2:$I$201=B25,Orders!$T$2:$T$201=TRUE)))/(E25-1),""""))"),"")</f>
        <v/>
      </c>
      <c r="I25" s="20">
        <f>IFERROR(AVERAGEIF(Reviews!$H$2:$H$142,B25,Reviews!$C$2:$C$142),"")</f>
        <v>2</v>
      </c>
      <c r="J25" s="20">
        <f>SUMIF(Interactions!$B$2:$B$481,B25,Interactions!$I$2:$I$481)</f>
        <v>13</v>
      </c>
      <c r="K25" s="20">
        <f t="shared" si="2"/>
        <v>1</v>
      </c>
      <c r="L25" s="20">
        <f t="shared" si="3"/>
        <v>3</v>
      </c>
      <c r="M25" s="20">
        <f t="shared" si="4"/>
        <v>3</v>
      </c>
      <c r="N25" s="28">
        <f t="shared" si="5"/>
        <v>47.2</v>
      </c>
      <c r="O25" s="20" t="str">
        <f t="shared" si="6"/>
        <v>Thông thường</v>
      </c>
      <c r="P25" s="23" t="s">
        <v>2622</v>
      </c>
    </row>
    <row r="26" ht="18.0" customHeight="1">
      <c r="A26" s="26">
        <v>46247.0</v>
      </c>
      <c r="B26" s="23" t="s">
        <v>295</v>
      </c>
      <c r="C26" s="20" t="str">
        <f>IFERROR(VLOOKUP(B26,Customers!$B$2:$L$81,11,FALSE),"")</f>
        <v>EMP001</v>
      </c>
      <c r="D26" s="20" t="str">
        <f>IFERROR(__xludf.DUMMYFUNCTION("IFERROR(A26-MAX(FILTER(Orders!$D$2:$D$201,Orders!$I$2:$I$201=B26,Orders!$T$2:$T$201=TRUE)),"""")"),"")</f>
        <v/>
      </c>
      <c r="E26" s="20">
        <f>COUNTIFS(Orders!$I$2:$I$201,B26,Orders!$T$2:$T$201,TRUE)</f>
        <v>0</v>
      </c>
      <c r="F26" s="28">
        <f>SUMIFS(Orders!$R$2:$R$201,Orders!$I$2:$I$201,B26,Orders!$T$2:$T$201,TRUE)</f>
        <v>0</v>
      </c>
      <c r="G26" s="28">
        <f t="shared" si="1"/>
        <v>0</v>
      </c>
      <c r="H26" s="28" t="str">
        <f>IFERROR(__xludf.DUMMYFUNCTION("IF(E26&lt;2,"""",IFERROR((MAX(FILTER(Orders!$D$2:$D$201,Orders!$I$2:$I$201=B26,Orders!$T$2:$T$201=TRUE))-MIN(FILTER(Orders!$D$2:$D$201,Orders!$I$2:$I$201=B26,Orders!$T$2:$T$201=TRUE)))/(E26-1),""""))"),"")</f>
        <v/>
      </c>
      <c r="I26" s="20">
        <f>IFERROR(AVERAGEIF(Reviews!$H$2:$H$142,B26,Reviews!$C$2:$C$142),"")</f>
        <v>2</v>
      </c>
      <c r="J26" s="20">
        <f>SUMIF(Interactions!$B$2:$B$481,B26,Interactions!$I$2:$I$481)</f>
        <v>13</v>
      </c>
      <c r="K26" s="20" t="str">
        <f t="shared" si="2"/>
        <v/>
      </c>
      <c r="L26" s="20">
        <f t="shared" si="3"/>
        <v>1</v>
      </c>
      <c r="M26" s="20">
        <f t="shared" si="4"/>
        <v>1</v>
      </c>
      <c r="N26" s="28" t="str">
        <f t="shared" si="5"/>
        <v/>
      </c>
      <c r="O26" s="20" t="str">
        <f t="shared" si="6"/>
        <v>Chưa đủ dữ liệu</v>
      </c>
      <c r="P26" s="23" t="s">
        <v>2622</v>
      </c>
    </row>
    <row r="27" ht="18.0" customHeight="1">
      <c r="A27" s="26">
        <v>46247.0</v>
      </c>
      <c r="B27" s="23" t="s">
        <v>305</v>
      </c>
      <c r="C27" s="20" t="str">
        <f>IFERROR(VLOOKUP(B27,Customers!$B$2:$L$81,11,FALSE),"")</f>
        <v>EMP002</v>
      </c>
      <c r="D27" s="20">
        <f>IFERROR(__xludf.DUMMYFUNCTION("IFERROR(A27-MAX(FILTER(Orders!$D$2:$D$201,Orders!$I$2:$I$201=B27,Orders!$T$2:$T$201=TRUE)),"""")"),90.21013888889138)</f>
        <v>90.21013889</v>
      </c>
      <c r="E27" s="20">
        <f>COUNTIFS(Orders!$I$2:$I$201,B27,Orders!$T$2:$T$201,TRUE)</f>
        <v>3</v>
      </c>
      <c r="F27" s="28">
        <f>SUMIFS(Orders!$R$2:$R$201,Orders!$I$2:$I$201,B27,Orders!$T$2:$T$201,TRUE)</f>
        <v>4811000</v>
      </c>
      <c r="G27" s="28">
        <f t="shared" si="1"/>
        <v>1603666.667</v>
      </c>
      <c r="H27" s="28">
        <f>IFERROR(__xludf.DUMMYFUNCTION("IF(E27&lt;2,"""",IFERROR((MAX(FILTER(Orders!$D$2:$D$201,Orders!$I$2:$I$201=B27,Orders!$T$2:$T$201=TRUE))-MIN(FILTER(Orders!$D$2:$D$201,Orders!$I$2:$I$201=B27,Orders!$T$2:$T$201=TRUE)))/(E27-1),""""))"),175.68523726851708)</f>
        <v>175.6852373</v>
      </c>
      <c r="I27" s="20">
        <f>IFERROR(AVERAGEIF(Reviews!$H$2:$H$142,B27,Reviews!$C$2:$C$142),"")</f>
        <v>2.75</v>
      </c>
      <c r="J27" s="20">
        <f>SUMIF(Interactions!$B$2:$B$481,B27,Interactions!$I$2:$I$481)</f>
        <v>10</v>
      </c>
      <c r="K27" s="20">
        <f t="shared" si="2"/>
        <v>4</v>
      </c>
      <c r="L27" s="20">
        <f t="shared" si="3"/>
        <v>4</v>
      </c>
      <c r="M27" s="20">
        <f t="shared" si="4"/>
        <v>5</v>
      </c>
      <c r="N27" s="28">
        <f t="shared" si="5"/>
        <v>75</v>
      </c>
      <c r="O27" s="20" t="str">
        <f t="shared" si="6"/>
        <v>Tiềm năng</v>
      </c>
      <c r="P27" s="23" t="s">
        <v>2622</v>
      </c>
    </row>
    <row r="28" ht="18.0" customHeight="1">
      <c r="A28" s="26">
        <v>46247.0</v>
      </c>
      <c r="B28" s="23" t="s">
        <v>315</v>
      </c>
      <c r="C28" s="20" t="str">
        <f>IFERROR(VLOOKUP(B28,Customers!$B$2:$L$81,11,FALSE),"")</f>
        <v>EMP003</v>
      </c>
      <c r="D28" s="20">
        <f>IFERROR(__xludf.DUMMYFUNCTION("IFERROR(A28-MAX(FILTER(Orders!$D$2:$D$201,Orders!$I$2:$I$201=B28,Orders!$T$2:$T$201=TRUE)),"""")"),280.70033564815094)</f>
        <v>280.7003356</v>
      </c>
      <c r="E28" s="20">
        <f>COUNTIFS(Orders!$I$2:$I$201,B28,Orders!$T$2:$T$201,TRUE)</f>
        <v>5</v>
      </c>
      <c r="F28" s="28">
        <f>SUMIFS(Orders!$R$2:$R$201,Orders!$I$2:$I$201,B28,Orders!$T$2:$T$201,TRUE)</f>
        <v>8521000</v>
      </c>
      <c r="G28" s="28">
        <f t="shared" si="1"/>
        <v>1704200</v>
      </c>
      <c r="H28" s="28">
        <f>IFERROR(__xludf.DUMMYFUNCTION("IF(E28&lt;2,"""",IFERROR((MAX(FILTER(Orders!$D$2:$D$201,Orders!$I$2:$I$201=B28,Orders!$T$2:$T$201=TRUE))-MIN(FILTER(Orders!$D$2:$D$201,Orders!$I$2:$I$201=B28,Orders!$T$2:$T$201=TRUE)))/(E28-1),""""))"),138.34770543981358)</f>
        <v>138.3477054</v>
      </c>
      <c r="I28" s="20">
        <f>IFERROR(AVERAGEIF(Reviews!$H$2:$H$142,B28,Reviews!$C$2:$C$142),"")</f>
        <v>3.6</v>
      </c>
      <c r="J28" s="20">
        <f>SUMIF(Interactions!$B$2:$B$481,B28,Interactions!$I$2:$I$481)</f>
        <v>15</v>
      </c>
      <c r="K28" s="20">
        <f t="shared" si="2"/>
        <v>2</v>
      </c>
      <c r="L28" s="20">
        <f t="shared" si="3"/>
        <v>5</v>
      </c>
      <c r="M28" s="20">
        <f t="shared" si="4"/>
        <v>5</v>
      </c>
      <c r="N28" s="28">
        <f t="shared" si="5"/>
        <v>79</v>
      </c>
      <c r="O28" s="20" t="str">
        <f t="shared" si="6"/>
        <v>Tiềm năng</v>
      </c>
      <c r="P28" s="23" t="s">
        <v>2622</v>
      </c>
    </row>
    <row r="29" ht="18.0" customHeight="1">
      <c r="A29" s="26">
        <v>46247.0</v>
      </c>
      <c r="B29" s="23" t="s">
        <v>323</v>
      </c>
      <c r="C29" s="20" t="str">
        <f>IFERROR(VLOOKUP(B29,Customers!$B$2:$L$81,11,FALSE),"")</f>
        <v>EMP004</v>
      </c>
      <c r="D29" s="20" t="str">
        <f>IFERROR(__xludf.DUMMYFUNCTION("IFERROR(A29-MAX(FILTER(Orders!$D$2:$D$201,Orders!$I$2:$I$201=B29,Orders!$T$2:$T$201=TRUE)),"""")"),"")</f>
        <v/>
      </c>
      <c r="E29" s="20">
        <f>COUNTIFS(Orders!$I$2:$I$201,B29,Orders!$T$2:$T$201,TRUE)</f>
        <v>0</v>
      </c>
      <c r="F29" s="28">
        <f>SUMIFS(Orders!$R$2:$R$201,Orders!$I$2:$I$201,B29,Orders!$T$2:$T$201,TRUE)</f>
        <v>0</v>
      </c>
      <c r="G29" s="28">
        <f t="shared" si="1"/>
        <v>0</v>
      </c>
      <c r="H29" s="28" t="str">
        <f>IFERROR(__xludf.DUMMYFUNCTION("IF(E29&lt;2,"""",IFERROR((MAX(FILTER(Orders!$D$2:$D$201,Orders!$I$2:$I$201=B29,Orders!$T$2:$T$201=TRUE))-MIN(FILTER(Orders!$D$2:$D$201,Orders!$I$2:$I$201=B29,Orders!$T$2:$T$201=TRUE)))/(E29-1),""""))"),"")</f>
        <v/>
      </c>
      <c r="I29" s="20" t="str">
        <f>IFERROR(AVERAGEIF(Reviews!$H$2:$H$142,B29,Reviews!$C$2:$C$142),"")</f>
        <v/>
      </c>
      <c r="J29" s="20">
        <f>SUMIF(Interactions!$B$2:$B$481,B29,Interactions!$I$2:$I$481)</f>
        <v>14</v>
      </c>
      <c r="K29" s="20" t="str">
        <f t="shared" si="2"/>
        <v/>
      </c>
      <c r="L29" s="20">
        <f t="shared" si="3"/>
        <v>1</v>
      </c>
      <c r="M29" s="20">
        <f t="shared" si="4"/>
        <v>1</v>
      </c>
      <c r="N29" s="28" t="str">
        <f t="shared" si="5"/>
        <v/>
      </c>
      <c r="O29" s="20" t="str">
        <f t="shared" si="6"/>
        <v>Chưa đủ dữ liệu</v>
      </c>
      <c r="P29" s="23" t="s">
        <v>2622</v>
      </c>
    </row>
    <row r="30" ht="18.0" customHeight="1">
      <c r="A30" s="26">
        <v>46247.0</v>
      </c>
      <c r="B30" s="23" t="s">
        <v>330</v>
      </c>
      <c r="C30" s="20" t="str">
        <f>IFERROR(VLOOKUP(B30,Customers!$B$2:$L$81,11,FALSE),"")</f>
        <v>EMP005</v>
      </c>
      <c r="D30" s="20">
        <f>IFERROR(__xludf.DUMMYFUNCTION("IFERROR(A30-MAX(FILTER(Orders!$D$2:$D$201,Orders!$I$2:$I$201=B30,Orders!$T$2:$T$201=TRUE)),"""")"),341.62327546296)</f>
        <v>341.6232755</v>
      </c>
      <c r="E30" s="20">
        <f>COUNTIFS(Orders!$I$2:$I$201,B30,Orders!$T$2:$T$201,TRUE)</f>
        <v>2</v>
      </c>
      <c r="F30" s="28">
        <f>SUMIFS(Orders!$R$2:$R$201,Orders!$I$2:$I$201,B30,Orders!$T$2:$T$201,TRUE)</f>
        <v>1741000</v>
      </c>
      <c r="G30" s="28">
        <f t="shared" si="1"/>
        <v>870500</v>
      </c>
      <c r="H30" s="28">
        <f>IFERROR(__xludf.DUMMYFUNCTION("IF(E30&lt;2,"""",IFERROR((MAX(FILTER(Orders!$D$2:$D$201,Orders!$I$2:$I$201=B30,Orders!$T$2:$T$201=TRUE))-MIN(FILTER(Orders!$D$2:$D$201,Orders!$I$2:$I$201=B30,Orders!$T$2:$T$201=TRUE)))/(E30-1),""""))"),546.2475462962975)</f>
        <v>546.2475463</v>
      </c>
      <c r="I30" s="20">
        <f>IFERROR(AVERAGEIF(Reviews!$H$2:$H$142,B30,Reviews!$C$2:$C$142),"")</f>
        <v>4</v>
      </c>
      <c r="J30" s="20">
        <f>SUMIF(Interactions!$B$2:$B$481,B30,Interactions!$I$2:$I$481)</f>
        <v>11</v>
      </c>
      <c r="K30" s="20">
        <f t="shared" si="2"/>
        <v>2</v>
      </c>
      <c r="L30" s="20">
        <f t="shared" si="3"/>
        <v>4</v>
      </c>
      <c r="M30" s="20">
        <f t="shared" si="4"/>
        <v>3</v>
      </c>
      <c r="N30" s="28">
        <f t="shared" si="5"/>
        <v>55.4</v>
      </c>
      <c r="O30" s="20" t="str">
        <f t="shared" si="6"/>
        <v>Thông thường</v>
      </c>
      <c r="P30" s="23" t="s">
        <v>2622</v>
      </c>
    </row>
    <row r="31" ht="18.0" customHeight="1">
      <c r="A31" s="26">
        <v>46247.0</v>
      </c>
      <c r="B31" s="23" t="s">
        <v>339</v>
      </c>
      <c r="C31" s="20" t="str">
        <f>IFERROR(VLOOKUP(B31,Customers!$B$2:$L$81,11,FALSE),"")</f>
        <v>EMP006</v>
      </c>
      <c r="D31" s="20">
        <f>IFERROR(__xludf.DUMMYFUNCTION("IFERROR(A31-MAX(FILTER(Orders!$D$2:$D$201,Orders!$I$2:$I$201=B31,Orders!$T$2:$T$201=TRUE)),"""")"),28.081307870372257)</f>
        <v>28.08130787</v>
      </c>
      <c r="E31" s="20">
        <f>COUNTIFS(Orders!$I$2:$I$201,B31,Orders!$T$2:$T$201,TRUE)</f>
        <v>3</v>
      </c>
      <c r="F31" s="28">
        <f>SUMIFS(Orders!$R$2:$R$201,Orders!$I$2:$I$201,B31,Orders!$T$2:$T$201,TRUE)</f>
        <v>7492000</v>
      </c>
      <c r="G31" s="28">
        <f t="shared" si="1"/>
        <v>2497333.333</v>
      </c>
      <c r="H31" s="28">
        <f>IFERROR(__xludf.DUMMYFUNCTION("IF(E31&lt;2,"""",IFERROR((MAX(FILTER(Orders!$D$2:$D$201,Orders!$I$2:$I$201=B31,Orders!$T$2:$T$201=TRUE))-MIN(FILTER(Orders!$D$2:$D$201,Orders!$I$2:$I$201=B31,Orders!$T$2:$T$201=TRUE)))/(E31-1),""""))"),396.22424189814774)</f>
        <v>396.2242419</v>
      </c>
      <c r="I31" s="20">
        <f>IFERROR(AVERAGEIF(Reviews!$H$2:$H$142,B31,Reviews!$C$2:$C$142),"")</f>
        <v>3</v>
      </c>
      <c r="J31" s="20">
        <f>SUMIF(Interactions!$B$2:$B$481,B31,Interactions!$I$2:$I$481)</f>
        <v>14</v>
      </c>
      <c r="K31" s="20">
        <f t="shared" si="2"/>
        <v>4</v>
      </c>
      <c r="L31" s="20">
        <f t="shared" si="3"/>
        <v>4</v>
      </c>
      <c r="M31" s="20">
        <f t="shared" si="4"/>
        <v>5</v>
      </c>
      <c r="N31" s="28">
        <f t="shared" si="5"/>
        <v>84.6</v>
      </c>
      <c r="O31" s="20" t="str">
        <f t="shared" si="6"/>
        <v>Tiềm năng cao</v>
      </c>
      <c r="P31" s="23" t="s">
        <v>2622</v>
      </c>
    </row>
    <row r="32" ht="18.0" customHeight="1">
      <c r="A32" s="26">
        <v>46247.0</v>
      </c>
      <c r="B32" s="23" t="s">
        <v>349</v>
      </c>
      <c r="C32" s="20" t="str">
        <f>IFERROR(VLOOKUP(B32,Customers!$B$2:$L$81,11,FALSE),"")</f>
        <v>EMP007</v>
      </c>
      <c r="D32" s="20">
        <f>IFERROR(__xludf.DUMMYFUNCTION("IFERROR(A32-MAX(FILTER(Orders!$D$2:$D$201,Orders!$I$2:$I$201=B32,Orders!$T$2:$T$201=TRUE)),"""")"),467.9645138888882)</f>
        <v>467.9645139</v>
      </c>
      <c r="E32" s="20">
        <f>COUNTIFS(Orders!$I$2:$I$201,B32,Orders!$T$2:$T$201,TRUE)</f>
        <v>1</v>
      </c>
      <c r="F32" s="28">
        <f>SUMIFS(Orders!$R$2:$R$201,Orders!$I$2:$I$201,B32,Orders!$T$2:$T$201,TRUE)</f>
        <v>996000</v>
      </c>
      <c r="G32" s="28">
        <f t="shared" si="1"/>
        <v>996000</v>
      </c>
      <c r="H32" s="28" t="str">
        <f>IFERROR(__xludf.DUMMYFUNCTION("IF(E32&lt;2,"""",IFERROR((MAX(FILTER(Orders!$D$2:$D$201,Orders!$I$2:$I$201=B32,Orders!$T$2:$T$201=TRUE))-MIN(FILTER(Orders!$D$2:$D$201,Orders!$I$2:$I$201=B32,Orders!$T$2:$T$201=TRUE)))/(E32-1),""""))"),"")</f>
        <v/>
      </c>
      <c r="I32" s="20">
        <f>IFERROR(AVERAGEIF(Reviews!$H$2:$H$142,B32,Reviews!$C$2:$C$142),"")</f>
        <v>1.666666667</v>
      </c>
      <c r="J32" s="20">
        <f>SUMIF(Interactions!$B$2:$B$481,B32,Interactions!$I$2:$I$481)</f>
        <v>12</v>
      </c>
      <c r="K32" s="20">
        <f t="shared" si="2"/>
        <v>1</v>
      </c>
      <c r="L32" s="20">
        <f t="shared" si="3"/>
        <v>3</v>
      </c>
      <c r="M32" s="20">
        <f t="shared" si="4"/>
        <v>3</v>
      </c>
      <c r="N32" s="28">
        <f t="shared" si="5"/>
        <v>44.8</v>
      </c>
      <c r="O32" s="20" t="str">
        <f t="shared" si="6"/>
        <v>Thông thường</v>
      </c>
      <c r="P32" s="23" t="s">
        <v>2622</v>
      </c>
    </row>
    <row r="33" ht="18.0" customHeight="1">
      <c r="A33" s="26">
        <v>46247.0</v>
      </c>
      <c r="B33" s="23" t="s">
        <v>358</v>
      </c>
      <c r="C33" s="20" t="str">
        <f>IFERROR(VLOOKUP(B33,Customers!$B$2:$L$81,11,FALSE),"")</f>
        <v>EMP008</v>
      </c>
      <c r="D33" s="20">
        <f>IFERROR(__xludf.DUMMYFUNCTION("IFERROR(A33-MAX(FILTER(Orders!$D$2:$D$201,Orders!$I$2:$I$201=B33,Orders!$T$2:$T$201=TRUE)),"""")"),82.60910879629955)</f>
        <v>82.6091088</v>
      </c>
      <c r="E33" s="20">
        <f>COUNTIFS(Orders!$I$2:$I$201,B33,Orders!$T$2:$T$201,TRUE)</f>
        <v>9</v>
      </c>
      <c r="F33" s="28">
        <f>SUMIFS(Orders!$R$2:$R$201,Orders!$I$2:$I$201,B33,Orders!$T$2:$T$201,TRUE)</f>
        <v>11101000</v>
      </c>
      <c r="G33" s="28">
        <f t="shared" si="1"/>
        <v>1233444.444</v>
      </c>
      <c r="H33" s="28">
        <f>IFERROR(__xludf.DUMMYFUNCTION("IF(E33&lt;2,"""",IFERROR((MAX(FILTER(Orders!$D$2:$D$201,Orders!$I$2:$I$201=B33,Orders!$T$2:$T$201=TRUE))-MIN(FILTER(Orders!$D$2:$D$201,Orders!$I$2:$I$201=B33,Orders!$T$2:$T$201=TRUE)))/(E33-1),""""))"),80.55700376157347)</f>
        <v>80.55700376</v>
      </c>
      <c r="I33" s="20">
        <f>IFERROR(AVERAGEIF(Reviews!$H$2:$H$142,B33,Reviews!$C$2:$C$142),"")</f>
        <v>4.125</v>
      </c>
      <c r="J33" s="20">
        <f>SUMIF(Interactions!$B$2:$B$481,B33,Interactions!$I$2:$I$481)</f>
        <v>13</v>
      </c>
      <c r="K33" s="20">
        <f t="shared" si="2"/>
        <v>4</v>
      </c>
      <c r="L33" s="20">
        <f t="shared" si="3"/>
        <v>5</v>
      </c>
      <c r="M33" s="20">
        <f t="shared" si="4"/>
        <v>5</v>
      </c>
      <c r="N33" s="28">
        <f t="shared" si="5"/>
        <v>88.2</v>
      </c>
      <c r="O33" s="20" t="str">
        <f t="shared" si="6"/>
        <v>Tiềm năng cao</v>
      </c>
      <c r="P33" s="23" t="s">
        <v>2622</v>
      </c>
    </row>
    <row r="34" ht="18.0" customHeight="1">
      <c r="A34" s="26">
        <v>46247.0</v>
      </c>
      <c r="B34" s="23" t="s">
        <v>364</v>
      </c>
      <c r="C34" s="20" t="str">
        <f>IFERROR(VLOOKUP(B34,Customers!$B$2:$L$81,11,FALSE),"")</f>
        <v>EMP001</v>
      </c>
      <c r="D34" s="20">
        <f>IFERROR(__xludf.DUMMYFUNCTION("IFERROR(A34-MAX(FILTER(Orders!$D$2:$D$201,Orders!$I$2:$I$201=B34,Orders!$T$2:$T$201=TRUE)),"""")"),77.94567129629286)</f>
        <v>77.9456713</v>
      </c>
      <c r="E34" s="20">
        <f>COUNTIFS(Orders!$I$2:$I$201,B34,Orders!$T$2:$T$201,TRUE)</f>
        <v>3</v>
      </c>
      <c r="F34" s="28">
        <f>SUMIFS(Orders!$R$2:$R$201,Orders!$I$2:$I$201,B34,Orders!$T$2:$T$201,TRUE)</f>
        <v>2863000</v>
      </c>
      <c r="G34" s="28">
        <f t="shared" si="1"/>
        <v>954333.3333</v>
      </c>
      <c r="H34" s="28">
        <f>IFERROR(__xludf.DUMMYFUNCTION("IF(E34&lt;2,"""",IFERROR((MAX(FILTER(Orders!$D$2:$D$201,Orders!$I$2:$I$201=B34,Orders!$T$2:$T$201=TRUE))-MIN(FILTER(Orders!$D$2:$D$201,Orders!$I$2:$I$201=B34,Orders!$T$2:$T$201=TRUE)))/(E34-1),""""))"),352.67263310185444)</f>
        <v>352.6726331</v>
      </c>
      <c r="I34" s="20">
        <f>IFERROR(AVERAGEIF(Reviews!$H$2:$H$142,B34,Reviews!$C$2:$C$142),"")</f>
        <v>2.75</v>
      </c>
      <c r="J34" s="20">
        <f>SUMIF(Interactions!$B$2:$B$481,B34,Interactions!$I$2:$I$481)</f>
        <v>13</v>
      </c>
      <c r="K34" s="20">
        <f t="shared" si="2"/>
        <v>4</v>
      </c>
      <c r="L34" s="20">
        <f t="shared" si="3"/>
        <v>4</v>
      </c>
      <c r="M34" s="20">
        <f t="shared" si="4"/>
        <v>4</v>
      </c>
      <c r="N34" s="28">
        <f t="shared" si="5"/>
        <v>78.2</v>
      </c>
      <c r="O34" s="20" t="str">
        <f t="shared" si="6"/>
        <v>Tiềm năng</v>
      </c>
      <c r="P34" s="23" t="s">
        <v>2622</v>
      </c>
    </row>
    <row r="35" ht="18.0" customHeight="1">
      <c r="A35" s="26">
        <v>46247.0</v>
      </c>
      <c r="B35" s="23" t="s">
        <v>372</v>
      </c>
      <c r="C35" s="20" t="str">
        <f>IFERROR(VLOOKUP(B35,Customers!$B$2:$L$81,11,FALSE),"")</f>
        <v>EMP002</v>
      </c>
      <c r="D35" s="20">
        <f>IFERROR(__xludf.DUMMYFUNCTION("IFERROR(A35-MAX(FILTER(Orders!$D$2:$D$201,Orders!$I$2:$I$201=B35,Orders!$T$2:$T$201=TRUE)),"""")"),414.1937615740753)</f>
        <v>414.1937616</v>
      </c>
      <c r="E35" s="20">
        <f>COUNTIFS(Orders!$I$2:$I$201,B35,Orders!$T$2:$T$201,TRUE)</f>
        <v>1</v>
      </c>
      <c r="F35" s="28">
        <f>SUMIFS(Orders!$R$2:$R$201,Orders!$I$2:$I$201,B35,Orders!$T$2:$T$201,TRUE)</f>
        <v>2210000</v>
      </c>
      <c r="G35" s="28">
        <f t="shared" si="1"/>
        <v>2210000</v>
      </c>
      <c r="H35" s="28" t="str">
        <f>IFERROR(__xludf.DUMMYFUNCTION("IF(E35&lt;2,"""",IFERROR((MAX(FILTER(Orders!$D$2:$D$201,Orders!$I$2:$I$201=B35,Orders!$T$2:$T$201=TRUE))-MIN(FILTER(Orders!$D$2:$D$201,Orders!$I$2:$I$201=B35,Orders!$T$2:$T$201=TRUE)))/(E35-1),""""))"),"")</f>
        <v/>
      </c>
      <c r="I35" s="20">
        <f>IFERROR(AVERAGEIF(Reviews!$H$2:$H$142,B35,Reviews!$C$2:$C$142),"")</f>
        <v>2.5</v>
      </c>
      <c r="J35" s="20">
        <f>SUMIF(Interactions!$B$2:$B$481,B35,Interactions!$I$2:$I$481)</f>
        <v>10</v>
      </c>
      <c r="K35" s="20">
        <f t="shared" si="2"/>
        <v>1</v>
      </c>
      <c r="L35" s="20">
        <f t="shared" si="3"/>
        <v>3</v>
      </c>
      <c r="M35" s="20">
        <f t="shared" si="4"/>
        <v>3</v>
      </c>
      <c r="N35" s="28">
        <f t="shared" si="5"/>
        <v>40</v>
      </c>
      <c r="O35" s="20" t="str">
        <f t="shared" si="6"/>
        <v>Thông thường</v>
      </c>
      <c r="P35" s="23" t="s">
        <v>2622</v>
      </c>
    </row>
    <row r="36" ht="18.0" customHeight="1">
      <c r="A36" s="26">
        <v>46247.0</v>
      </c>
      <c r="B36" s="23" t="s">
        <v>378</v>
      </c>
      <c r="C36" s="20" t="str">
        <f>IFERROR(VLOOKUP(B36,Customers!$B$2:$L$81,11,FALSE),"")</f>
        <v>EMP003</v>
      </c>
      <c r="D36" s="20">
        <f>IFERROR(__xludf.DUMMYFUNCTION("IFERROR(A36-MAX(FILTER(Orders!$D$2:$D$201,Orders!$I$2:$I$201=B36,Orders!$T$2:$T$201=TRUE)),"""")"),73.86202546296408)</f>
        <v>73.86202546</v>
      </c>
      <c r="E36" s="20">
        <f>COUNTIFS(Orders!$I$2:$I$201,B36,Orders!$T$2:$T$201,TRUE)</f>
        <v>4</v>
      </c>
      <c r="F36" s="28">
        <f>SUMIFS(Orders!$R$2:$R$201,Orders!$I$2:$I$201,B36,Orders!$T$2:$T$201,TRUE)</f>
        <v>2773000</v>
      </c>
      <c r="G36" s="28">
        <f t="shared" si="1"/>
        <v>693250</v>
      </c>
      <c r="H36" s="28">
        <f>IFERROR(__xludf.DUMMYFUNCTION("IF(E36&lt;2,"""",IFERROR((MAX(FILTER(Orders!$D$2:$D$201,Orders!$I$2:$I$201=B36,Orders!$T$2:$T$201=TRUE))-MIN(FILTER(Orders!$D$2:$D$201,Orders!$I$2:$I$201=B36,Orders!$T$2:$T$201=TRUE)))/(E36-1),""""))"),199.23005015432136)</f>
        <v>199.2300502</v>
      </c>
      <c r="I36" s="20">
        <f>IFERROR(AVERAGEIF(Reviews!$H$2:$H$142,B36,Reviews!$C$2:$C$142),"")</f>
        <v>3.75</v>
      </c>
      <c r="J36" s="20">
        <f>SUMIF(Interactions!$B$2:$B$481,B36,Interactions!$I$2:$I$481)</f>
        <v>15</v>
      </c>
      <c r="K36" s="20">
        <f t="shared" si="2"/>
        <v>4</v>
      </c>
      <c r="L36" s="20">
        <f t="shared" si="3"/>
        <v>5</v>
      </c>
      <c r="M36" s="20">
        <f t="shared" si="4"/>
        <v>4</v>
      </c>
      <c r="N36" s="28">
        <f t="shared" si="5"/>
        <v>89</v>
      </c>
      <c r="O36" s="20" t="str">
        <f t="shared" si="6"/>
        <v>Tiềm năng cao</v>
      </c>
      <c r="P36" s="23" t="s">
        <v>2622</v>
      </c>
    </row>
    <row r="37" ht="18.0" customHeight="1">
      <c r="A37" s="26">
        <v>46247.0</v>
      </c>
      <c r="B37" s="23" t="s">
        <v>387</v>
      </c>
      <c r="C37" s="20" t="str">
        <f>IFERROR(VLOOKUP(B37,Customers!$B$2:$L$81,11,FALSE),"")</f>
        <v>EMP004</v>
      </c>
      <c r="D37" s="20">
        <f>IFERROR(__xludf.DUMMYFUNCTION("IFERROR(A37-MAX(FILTER(Orders!$D$2:$D$201,Orders!$I$2:$I$201=B37,Orders!$T$2:$T$201=TRUE)),"""")"),267.6656828703708)</f>
        <v>267.6656829</v>
      </c>
      <c r="E37" s="20">
        <f>COUNTIFS(Orders!$I$2:$I$201,B37,Orders!$T$2:$T$201,TRUE)</f>
        <v>4</v>
      </c>
      <c r="F37" s="28">
        <f>SUMIFS(Orders!$R$2:$R$201,Orders!$I$2:$I$201,B37,Orders!$T$2:$T$201,TRUE)</f>
        <v>2675000</v>
      </c>
      <c r="G37" s="28">
        <f t="shared" si="1"/>
        <v>668750</v>
      </c>
      <c r="H37" s="28">
        <f>IFERROR(__xludf.DUMMYFUNCTION("IF(E37&lt;2,"""",IFERROR((MAX(FILTER(Orders!$D$2:$D$201,Orders!$I$2:$I$201=B37,Orders!$T$2:$T$201=TRUE))-MIN(FILTER(Orders!$D$2:$D$201,Orders!$I$2:$I$201=B37,Orders!$T$2:$T$201=TRUE)))/(E37-1),""""))"),209.40783179012215)</f>
        <v>209.4078318</v>
      </c>
      <c r="I37" s="20">
        <f>IFERROR(AVERAGEIF(Reviews!$H$2:$H$142,B37,Reviews!$C$2:$C$142),"")</f>
        <v>4</v>
      </c>
      <c r="J37" s="20">
        <f>SUMIF(Interactions!$B$2:$B$481,B37,Interactions!$I$2:$I$481)</f>
        <v>14</v>
      </c>
      <c r="K37" s="20">
        <f t="shared" si="2"/>
        <v>2</v>
      </c>
      <c r="L37" s="20">
        <f t="shared" si="3"/>
        <v>5</v>
      </c>
      <c r="M37" s="20">
        <f t="shared" si="4"/>
        <v>4</v>
      </c>
      <c r="N37" s="28">
        <f t="shared" si="5"/>
        <v>72.6</v>
      </c>
      <c r="O37" s="20" t="str">
        <f t="shared" si="6"/>
        <v>Tiềm năng</v>
      </c>
      <c r="P37" s="23" t="s">
        <v>2622</v>
      </c>
    </row>
    <row r="38" ht="18.0" customHeight="1">
      <c r="A38" s="26">
        <v>46247.0</v>
      </c>
      <c r="B38" s="23" t="s">
        <v>396</v>
      </c>
      <c r="C38" s="20" t="str">
        <f>IFERROR(VLOOKUP(B38,Customers!$B$2:$L$81,11,FALSE),"")</f>
        <v>EMP005</v>
      </c>
      <c r="D38" s="20">
        <f>IFERROR(__xludf.DUMMYFUNCTION("IFERROR(A38-MAX(FILTER(Orders!$D$2:$D$201,Orders!$I$2:$I$201=B38,Orders!$T$2:$T$201=TRUE)),"""")"),105.55846064814978)</f>
        <v>105.5584606</v>
      </c>
      <c r="E38" s="20">
        <f>COUNTIFS(Orders!$I$2:$I$201,B38,Orders!$T$2:$T$201,TRUE)</f>
        <v>1</v>
      </c>
      <c r="F38" s="28">
        <f>SUMIFS(Orders!$R$2:$R$201,Orders!$I$2:$I$201,B38,Orders!$T$2:$T$201,TRUE)</f>
        <v>987000</v>
      </c>
      <c r="G38" s="28">
        <f t="shared" si="1"/>
        <v>987000</v>
      </c>
      <c r="H38" s="28" t="str">
        <f>IFERROR(__xludf.DUMMYFUNCTION("IF(E38&lt;2,"""",IFERROR((MAX(FILTER(Orders!$D$2:$D$201,Orders!$I$2:$I$201=B38,Orders!$T$2:$T$201=TRUE))-MIN(FILTER(Orders!$D$2:$D$201,Orders!$I$2:$I$201=B38,Orders!$T$2:$T$201=TRUE)))/(E38-1),""""))"),"")</f>
        <v/>
      </c>
      <c r="I38" s="20">
        <f>IFERROR(AVERAGEIF(Reviews!$H$2:$H$142,B38,Reviews!$C$2:$C$142),"")</f>
        <v>3</v>
      </c>
      <c r="J38" s="20">
        <f>SUMIF(Interactions!$B$2:$B$481,B38,Interactions!$I$2:$I$481)</f>
        <v>11</v>
      </c>
      <c r="K38" s="20">
        <f t="shared" si="2"/>
        <v>3</v>
      </c>
      <c r="L38" s="20">
        <f t="shared" si="3"/>
        <v>3</v>
      </c>
      <c r="M38" s="20">
        <f t="shared" si="4"/>
        <v>3</v>
      </c>
      <c r="N38" s="28">
        <f t="shared" si="5"/>
        <v>56.4</v>
      </c>
      <c r="O38" s="20" t="str">
        <f t="shared" si="6"/>
        <v>Thông thường</v>
      </c>
      <c r="P38" s="23" t="s">
        <v>2622</v>
      </c>
    </row>
    <row r="39" ht="18.0" customHeight="1">
      <c r="A39" s="26">
        <v>46247.0</v>
      </c>
      <c r="B39" s="23" t="s">
        <v>405</v>
      </c>
      <c r="C39" s="20" t="str">
        <f>IFERROR(VLOOKUP(B39,Customers!$B$2:$L$81,11,FALSE),"")</f>
        <v>EMP006</v>
      </c>
      <c r="D39" s="20">
        <f>IFERROR(__xludf.DUMMYFUNCTION("IFERROR(A39-MAX(FILTER(Orders!$D$2:$D$201,Orders!$I$2:$I$201=B39,Orders!$T$2:$T$201=TRUE)),"""")"),156.5748611111121)</f>
        <v>156.5748611</v>
      </c>
      <c r="E39" s="20">
        <f>COUNTIFS(Orders!$I$2:$I$201,B39,Orders!$T$2:$T$201,TRUE)</f>
        <v>1</v>
      </c>
      <c r="F39" s="28">
        <f>SUMIFS(Orders!$R$2:$R$201,Orders!$I$2:$I$201,B39,Orders!$T$2:$T$201,TRUE)</f>
        <v>2598000</v>
      </c>
      <c r="G39" s="28">
        <f t="shared" si="1"/>
        <v>2598000</v>
      </c>
      <c r="H39" s="28" t="str">
        <f>IFERROR(__xludf.DUMMYFUNCTION("IF(E39&lt;2,"""",IFERROR((MAX(FILTER(Orders!$D$2:$D$201,Orders!$I$2:$I$201=B39,Orders!$T$2:$T$201=TRUE))-MIN(FILTER(Orders!$D$2:$D$201,Orders!$I$2:$I$201=B39,Orders!$T$2:$T$201=TRUE)))/(E39-1),""""))"),"")</f>
        <v/>
      </c>
      <c r="I39" s="20">
        <f>IFERROR(AVERAGEIF(Reviews!$H$2:$H$142,B39,Reviews!$C$2:$C$142),"")</f>
        <v>4</v>
      </c>
      <c r="J39" s="20">
        <f>SUMIF(Interactions!$B$2:$B$481,B39,Interactions!$I$2:$I$481)</f>
        <v>14</v>
      </c>
      <c r="K39" s="20">
        <f t="shared" si="2"/>
        <v>3</v>
      </c>
      <c r="L39" s="20">
        <f t="shared" si="3"/>
        <v>3</v>
      </c>
      <c r="M39" s="20">
        <f t="shared" si="4"/>
        <v>4</v>
      </c>
      <c r="N39" s="28">
        <f t="shared" si="5"/>
        <v>67.6</v>
      </c>
      <c r="O39" s="20" t="str">
        <f t="shared" si="6"/>
        <v>Tiềm năng</v>
      </c>
      <c r="P39" s="23" t="s">
        <v>2622</v>
      </c>
    </row>
    <row r="40" ht="18.0" customHeight="1">
      <c r="A40" s="26">
        <v>46247.0</v>
      </c>
      <c r="B40" s="23" t="s">
        <v>413</v>
      </c>
      <c r="C40" s="20" t="str">
        <f>IFERROR(VLOOKUP(B40,Customers!$B$2:$L$81,11,FALSE),"")</f>
        <v>EMP007</v>
      </c>
      <c r="D40" s="20">
        <f>IFERROR(__xludf.DUMMYFUNCTION("IFERROR(A40-MAX(FILTER(Orders!$D$2:$D$201,Orders!$I$2:$I$201=B40,Orders!$T$2:$T$201=TRUE)),"""")"),301.5201736111121)</f>
        <v>301.5201736</v>
      </c>
      <c r="E40" s="20">
        <f>COUNTIFS(Orders!$I$2:$I$201,B40,Orders!$T$2:$T$201,TRUE)</f>
        <v>1</v>
      </c>
      <c r="F40" s="28">
        <f>SUMIFS(Orders!$R$2:$R$201,Orders!$I$2:$I$201,B40,Orders!$T$2:$T$201,TRUE)</f>
        <v>1154000</v>
      </c>
      <c r="G40" s="28">
        <f t="shared" si="1"/>
        <v>1154000</v>
      </c>
      <c r="H40" s="28" t="str">
        <f>IFERROR(__xludf.DUMMYFUNCTION("IF(E40&lt;2,"""",IFERROR((MAX(FILTER(Orders!$D$2:$D$201,Orders!$I$2:$I$201=B40,Orders!$T$2:$T$201=TRUE))-MIN(FILTER(Orders!$D$2:$D$201,Orders!$I$2:$I$201=B40,Orders!$T$2:$T$201=TRUE)))/(E40-1),""""))"),"")</f>
        <v/>
      </c>
      <c r="I40" s="20" t="str">
        <f>IFERROR(AVERAGEIF(Reviews!$H$2:$H$142,B40,Reviews!$C$2:$C$142),"")</f>
        <v/>
      </c>
      <c r="J40" s="20">
        <f>SUMIF(Interactions!$B$2:$B$481,B40,Interactions!$I$2:$I$481)</f>
        <v>12</v>
      </c>
      <c r="K40" s="20">
        <f t="shared" si="2"/>
        <v>2</v>
      </c>
      <c r="L40" s="20">
        <f t="shared" si="3"/>
        <v>3</v>
      </c>
      <c r="M40" s="20">
        <f t="shared" si="4"/>
        <v>3</v>
      </c>
      <c r="N40" s="28">
        <f t="shared" si="5"/>
        <v>51.8</v>
      </c>
      <c r="O40" s="20" t="str">
        <f t="shared" si="6"/>
        <v>Thông thường</v>
      </c>
      <c r="P40" s="23" t="s">
        <v>2622</v>
      </c>
    </row>
    <row r="41" ht="18.0" customHeight="1">
      <c r="A41" s="26">
        <v>46247.0</v>
      </c>
      <c r="B41" s="23" t="s">
        <v>422</v>
      </c>
      <c r="C41" s="20" t="str">
        <f>IFERROR(VLOOKUP(B41,Customers!$B$2:$L$81,11,FALSE),"")</f>
        <v>EMP008</v>
      </c>
      <c r="D41" s="20">
        <f>IFERROR(__xludf.DUMMYFUNCTION("IFERROR(A41-MAX(FILTER(Orders!$D$2:$D$201,Orders!$I$2:$I$201=B41,Orders!$T$2:$T$201=TRUE)),"""")"),94.85784722222161)</f>
        <v>94.85784722</v>
      </c>
      <c r="E41" s="20">
        <f>COUNTIFS(Orders!$I$2:$I$201,B41,Orders!$T$2:$T$201,TRUE)</f>
        <v>2</v>
      </c>
      <c r="F41" s="28">
        <f>SUMIFS(Orders!$R$2:$R$201,Orders!$I$2:$I$201,B41,Orders!$T$2:$T$201,TRUE)</f>
        <v>666000</v>
      </c>
      <c r="G41" s="28">
        <f t="shared" si="1"/>
        <v>333000</v>
      </c>
      <c r="H41" s="28">
        <f>IFERROR(__xludf.DUMMYFUNCTION("IF(E41&lt;2,"""",IFERROR((MAX(FILTER(Orders!$D$2:$D$201,Orders!$I$2:$I$201=B41,Orders!$T$2:$T$201=TRUE))-MIN(FILTER(Orders!$D$2:$D$201,Orders!$I$2:$I$201=B41,Orders!$T$2:$T$201=TRUE)))/(E41-1),""""))"),231.08486111111415)</f>
        <v>231.0848611</v>
      </c>
      <c r="I41" s="20">
        <f>IFERROR(AVERAGEIF(Reviews!$H$2:$H$142,B41,Reviews!$C$2:$C$142),"")</f>
        <v>3.666666667</v>
      </c>
      <c r="J41" s="20">
        <f>SUMIF(Interactions!$B$2:$B$481,B41,Interactions!$I$2:$I$481)</f>
        <v>13</v>
      </c>
      <c r="K41" s="20">
        <f t="shared" si="2"/>
        <v>3</v>
      </c>
      <c r="L41" s="20">
        <f t="shared" si="3"/>
        <v>4</v>
      </c>
      <c r="M41" s="20">
        <f t="shared" si="4"/>
        <v>3</v>
      </c>
      <c r="N41" s="28">
        <f t="shared" si="5"/>
        <v>67.2</v>
      </c>
      <c r="O41" s="20" t="str">
        <f t="shared" si="6"/>
        <v>Tiềm năng</v>
      </c>
      <c r="P41" s="23" t="s">
        <v>2622</v>
      </c>
    </row>
    <row r="42" ht="18.0" customHeight="1">
      <c r="A42" s="26">
        <v>46247.0</v>
      </c>
      <c r="B42" s="23" t="s">
        <v>429</v>
      </c>
      <c r="C42" s="20" t="str">
        <f>IFERROR(VLOOKUP(B42,Customers!$B$2:$L$81,11,FALSE),"")</f>
        <v>EMP001</v>
      </c>
      <c r="D42" s="20">
        <f>IFERROR(__xludf.DUMMYFUNCTION("IFERROR(A42-MAX(FILTER(Orders!$D$2:$D$201,Orders!$I$2:$I$201=B42,Orders!$T$2:$T$201=TRUE)),"""")"),153.67476851851825)</f>
        <v>153.6747685</v>
      </c>
      <c r="E42" s="20">
        <f>COUNTIFS(Orders!$I$2:$I$201,B42,Orders!$T$2:$T$201,TRUE)</f>
        <v>3</v>
      </c>
      <c r="F42" s="28">
        <f>SUMIFS(Orders!$R$2:$R$201,Orders!$I$2:$I$201,B42,Orders!$T$2:$T$201,TRUE)</f>
        <v>6917000</v>
      </c>
      <c r="G42" s="28">
        <f t="shared" si="1"/>
        <v>2305666.667</v>
      </c>
      <c r="H42" s="28">
        <f>IFERROR(__xludf.DUMMYFUNCTION("IF(E42&lt;2,"""",IFERROR((MAX(FILTER(Orders!$D$2:$D$201,Orders!$I$2:$I$201=B42,Orders!$T$2:$T$201=TRUE))-MIN(FILTER(Orders!$D$2:$D$201,Orders!$I$2:$I$201=B42,Orders!$T$2:$T$201=TRUE)))/(E42-1),""""))"),193.87000578703737)</f>
        <v>193.8700058</v>
      </c>
      <c r="I42" s="20">
        <f>IFERROR(AVERAGEIF(Reviews!$H$2:$H$142,B42,Reviews!$C$2:$C$142),"")</f>
        <v>3.5</v>
      </c>
      <c r="J42" s="20">
        <f>SUMIF(Interactions!$B$2:$B$481,B42,Interactions!$I$2:$I$481)</f>
        <v>13</v>
      </c>
      <c r="K42" s="20">
        <f t="shared" si="2"/>
        <v>3</v>
      </c>
      <c r="L42" s="20">
        <f t="shared" si="3"/>
        <v>4</v>
      </c>
      <c r="M42" s="20">
        <f t="shared" si="4"/>
        <v>5</v>
      </c>
      <c r="N42" s="28">
        <f t="shared" si="5"/>
        <v>75.2</v>
      </c>
      <c r="O42" s="20" t="str">
        <f t="shared" si="6"/>
        <v>Tiềm năng</v>
      </c>
      <c r="P42" s="23" t="s">
        <v>2622</v>
      </c>
    </row>
    <row r="43" ht="18.0" customHeight="1">
      <c r="A43" s="26">
        <v>46247.0</v>
      </c>
      <c r="B43" s="23" t="s">
        <v>436</v>
      </c>
      <c r="C43" s="20" t="str">
        <f>IFERROR(VLOOKUP(B43,Customers!$B$2:$L$81,11,FALSE),"")</f>
        <v>EMP002</v>
      </c>
      <c r="D43" s="20">
        <f>IFERROR(__xludf.DUMMYFUNCTION("IFERROR(A43-MAX(FILTER(Orders!$D$2:$D$201,Orders!$I$2:$I$201=B43,Orders!$T$2:$T$201=TRUE)),"""")"),322.4688541666692)</f>
        <v>322.4688542</v>
      </c>
      <c r="E43" s="20">
        <f>COUNTIFS(Orders!$I$2:$I$201,B43,Orders!$T$2:$T$201,TRUE)</f>
        <v>3</v>
      </c>
      <c r="F43" s="28">
        <f>SUMIFS(Orders!$R$2:$R$201,Orders!$I$2:$I$201,B43,Orders!$T$2:$T$201,TRUE)</f>
        <v>5591000</v>
      </c>
      <c r="G43" s="28">
        <f t="shared" si="1"/>
        <v>1863666.667</v>
      </c>
      <c r="H43" s="28">
        <f>IFERROR(__xludf.DUMMYFUNCTION("IF(E43&lt;2,"""",IFERROR((MAX(FILTER(Orders!$D$2:$D$201,Orders!$I$2:$I$201=B43,Orders!$T$2:$T$201=TRUE))-MIN(FILTER(Orders!$D$2:$D$201,Orders!$I$2:$I$201=B43,Orders!$T$2:$T$201=TRUE)))/(E43-1),""""))"),288.764334490741)</f>
        <v>288.7643345</v>
      </c>
      <c r="I43" s="20">
        <f>IFERROR(AVERAGEIF(Reviews!$H$2:$H$142,B43,Reviews!$C$2:$C$142),"")</f>
        <v>4.666666667</v>
      </c>
      <c r="J43" s="20">
        <f>SUMIF(Interactions!$B$2:$B$481,B43,Interactions!$I$2:$I$481)</f>
        <v>10</v>
      </c>
      <c r="K43" s="20">
        <f t="shared" si="2"/>
        <v>2</v>
      </c>
      <c r="L43" s="20">
        <f t="shared" si="3"/>
        <v>4</v>
      </c>
      <c r="M43" s="20">
        <f t="shared" si="4"/>
        <v>5</v>
      </c>
      <c r="N43" s="28">
        <f t="shared" si="5"/>
        <v>61</v>
      </c>
      <c r="O43" s="20" t="str">
        <f t="shared" si="6"/>
        <v>Tiềm năng</v>
      </c>
      <c r="P43" s="23" t="s">
        <v>2622</v>
      </c>
    </row>
    <row r="44" ht="18.0" customHeight="1">
      <c r="A44" s="26">
        <v>46247.0</v>
      </c>
      <c r="B44" s="23" t="s">
        <v>444</v>
      </c>
      <c r="C44" s="20" t="str">
        <f>IFERROR(VLOOKUP(B44,Customers!$B$2:$L$81,11,FALSE),"")</f>
        <v>EMP003</v>
      </c>
      <c r="D44" s="20">
        <f>IFERROR(__xludf.DUMMYFUNCTION("IFERROR(A44-MAX(FILTER(Orders!$D$2:$D$201,Orders!$I$2:$I$201=B44,Orders!$T$2:$T$201=TRUE)),"""")"),148.7449074074102)</f>
        <v>148.7449074</v>
      </c>
      <c r="E44" s="20">
        <f>COUNTIFS(Orders!$I$2:$I$201,B44,Orders!$T$2:$T$201,TRUE)</f>
        <v>2</v>
      </c>
      <c r="F44" s="28">
        <f>SUMIFS(Orders!$R$2:$R$201,Orders!$I$2:$I$201,B44,Orders!$T$2:$T$201,TRUE)</f>
        <v>5571000</v>
      </c>
      <c r="G44" s="28">
        <f t="shared" si="1"/>
        <v>2785500</v>
      </c>
      <c r="H44" s="28">
        <f>IFERROR(__xludf.DUMMYFUNCTION("IF(E44&lt;2,"""",IFERROR((MAX(FILTER(Orders!$D$2:$D$201,Orders!$I$2:$I$201=B44,Orders!$T$2:$T$201=TRUE))-MIN(FILTER(Orders!$D$2:$D$201,Orders!$I$2:$I$201=B44,Orders!$T$2:$T$201=TRUE)))/(E44-1),""""))"),95.38633101851883)</f>
        <v>95.38633102</v>
      </c>
      <c r="I44" s="20">
        <f>IFERROR(AVERAGEIF(Reviews!$H$2:$H$142,B44,Reviews!$C$2:$C$142),"")</f>
        <v>5</v>
      </c>
      <c r="J44" s="20">
        <f>SUMIF(Interactions!$B$2:$B$481,B44,Interactions!$I$2:$I$481)</f>
        <v>15</v>
      </c>
      <c r="K44" s="20">
        <f t="shared" si="2"/>
        <v>3</v>
      </c>
      <c r="L44" s="20">
        <f t="shared" si="3"/>
        <v>4</v>
      </c>
      <c r="M44" s="20">
        <f t="shared" si="4"/>
        <v>5</v>
      </c>
      <c r="N44" s="28">
        <f t="shared" si="5"/>
        <v>80</v>
      </c>
      <c r="O44" s="20" t="str">
        <f t="shared" si="6"/>
        <v>Tiềm năng cao</v>
      </c>
      <c r="P44" s="23" t="s">
        <v>2622</v>
      </c>
    </row>
    <row r="45" ht="18.0" customHeight="1">
      <c r="A45" s="26">
        <v>46247.0</v>
      </c>
      <c r="B45" s="23" t="s">
        <v>452</v>
      </c>
      <c r="C45" s="20" t="str">
        <f>IFERROR(VLOOKUP(B45,Customers!$B$2:$L$81,11,FALSE),"")</f>
        <v>EMP004</v>
      </c>
      <c r="D45" s="20">
        <f>IFERROR(__xludf.DUMMYFUNCTION("IFERROR(A45-MAX(FILTER(Orders!$D$2:$D$201,Orders!$I$2:$I$201=B45,Orders!$T$2:$T$201=TRUE)),"""")"),276.8178935185206)</f>
        <v>276.8178935</v>
      </c>
      <c r="E45" s="20">
        <f>COUNTIFS(Orders!$I$2:$I$201,B45,Orders!$T$2:$T$201,TRUE)</f>
        <v>3</v>
      </c>
      <c r="F45" s="28">
        <f>SUMIFS(Orders!$R$2:$R$201,Orders!$I$2:$I$201,B45,Orders!$T$2:$T$201,TRUE)</f>
        <v>3037000</v>
      </c>
      <c r="G45" s="28">
        <f t="shared" si="1"/>
        <v>1012333.333</v>
      </c>
      <c r="H45" s="28">
        <f>IFERROR(__xludf.DUMMYFUNCTION("IF(E45&lt;2,"""",IFERROR((MAX(FILTER(Orders!$D$2:$D$201,Orders!$I$2:$I$201=B45,Orders!$T$2:$T$201=TRUE))-MIN(FILTER(Orders!$D$2:$D$201,Orders!$I$2:$I$201=B45,Orders!$T$2:$T$201=TRUE)))/(E45-1),""""))"),272.62190972222015)</f>
        <v>272.6219097</v>
      </c>
      <c r="I45" s="20">
        <f>IFERROR(AVERAGEIF(Reviews!$H$2:$H$142,B45,Reviews!$C$2:$C$142),"")</f>
        <v>4</v>
      </c>
      <c r="J45" s="20">
        <f>SUMIF(Interactions!$B$2:$B$481,B45,Interactions!$I$2:$I$481)</f>
        <v>14</v>
      </c>
      <c r="K45" s="20">
        <f t="shared" si="2"/>
        <v>2</v>
      </c>
      <c r="L45" s="20">
        <f t="shared" si="3"/>
        <v>4</v>
      </c>
      <c r="M45" s="20">
        <f t="shared" si="4"/>
        <v>4</v>
      </c>
      <c r="N45" s="28">
        <f t="shared" si="5"/>
        <v>66.6</v>
      </c>
      <c r="O45" s="20" t="str">
        <f t="shared" si="6"/>
        <v>Tiềm năng</v>
      </c>
      <c r="P45" s="23" t="s">
        <v>2622</v>
      </c>
    </row>
    <row r="46" ht="18.0" customHeight="1">
      <c r="A46" s="26">
        <v>46247.0</v>
      </c>
      <c r="B46" s="23" t="s">
        <v>459</v>
      </c>
      <c r="C46" s="20" t="str">
        <f>IFERROR(VLOOKUP(B46,Customers!$B$2:$L$81,11,FALSE),"")</f>
        <v>EMP005</v>
      </c>
      <c r="D46" s="20">
        <f>IFERROR(__xludf.DUMMYFUNCTION("IFERROR(A46-MAX(FILTER(Orders!$D$2:$D$201,Orders!$I$2:$I$201=B46,Orders!$T$2:$T$201=TRUE)),"""")"),461.90135416666453)</f>
        <v>461.9013542</v>
      </c>
      <c r="E46" s="20">
        <f>COUNTIFS(Orders!$I$2:$I$201,B46,Orders!$T$2:$T$201,TRUE)</f>
        <v>3</v>
      </c>
      <c r="F46" s="28">
        <f>SUMIFS(Orders!$R$2:$R$201,Orders!$I$2:$I$201,B46,Orders!$T$2:$T$201,TRUE)</f>
        <v>2158000</v>
      </c>
      <c r="G46" s="28">
        <f t="shared" si="1"/>
        <v>719333.3333</v>
      </c>
      <c r="H46" s="28">
        <f>IFERROR(__xludf.DUMMYFUNCTION("IF(E46&lt;2,"""",IFERROR((MAX(FILTER(Orders!$D$2:$D$201,Orders!$I$2:$I$201=B46,Orders!$T$2:$T$201=TRUE))-MIN(FILTER(Orders!$D$2:$D$201,Orders!$I$2:$I$201=B46,Orders!$T$2:$T$201=TRUE)))/(E46-1),""""))"),119.29697916666919)</f>
        <v>119.2969792</v>
      </c>
      <c r="I46" s="20">
        <f>IFERROR(AVERAGEIF(Reviews!$H$2:$H$142,B46,Reviews!$C$2:$C$142),"")</f>
        <v>3.666666667</v>
      </c>
      <c r="J46" s="20">
        <f>SUMIF(Interactions!$B$2:$B$481,B46,Interactions!$I$2:$I$481)</f>
        <v>11</v>
      </c>
      <c r="K46" s="20">
        <f t="shared" si="2"/>
        <v>1</v>
      </c>
      <c r="L46" s="20">
        <f t="shared" si="3"/>
        <v>4</v>
      </c>
      <c r="M46" s="20">
        <f t="shared" si="4"/>
        <v>3</v>
      </c>
      <c r="N46" s="28">
        <f t="shared" si="5"/>
        <v>48.4</v>
      </c>
      <c r="O46" s="20" t="str">
        <f t="shared" si="6"/>
        <v>Thông thường</v>
      </c>
      <c r="P46" s="23" t="s">
        <v>2622</v>
      </c>
    </row>
    <row r="47" ht="18.0" customHeight="1">
      <c r="A47" s="26">
        <v>46247.0</v>
      </c>
      <c r="B47" s="23" t="s">
        <v>467</v>
      </c>
      <c r="C47" s="20" t="str">
        <f>IFERROR(VLOOKUP(B47,Customers!$B$2:$L$81,11,FALSE),"")</f>
        <v>EMP006</v>
      </c>
      <c r="D47" s="20">
        <f>IFERROR(__xludf.DUMMYFUNCTION("IFERROR(A47-MAX(FILTER(Orders!$D$2:$D$201,Orders!$I$2:$I$201=B47,Orders!$T$2:$T$201=TRUE)),"""")"),258.66006944444234)</f>
        <v>258.6600694</v>
      </c>
      <c r="E47" s="20">
        <f>COUNTIFS(Orders!$I$2:$I$201,B47,Orders!$T$2:$T$201,TRUE)</f>
        <v>3</v>
      </c>
      <c r="F47" s="28">
        <f>SUMIFS(Orders!$R$2:$R$201,Orders!$I$2:$I$201,B47,Orders!$T$2:$T$201,TRUE)</f>
        <v>4379000</v>
      </c>
      <c r="G47" s="28">
        <f t="shared" si="1"/>
        <v>1459666.667</v>
      </c>
      <c r="H47" s="28">
        <f>IFERROR(__xludf.DUMMYFUNCTION("IF(E47&lt;2,"""",IFERROR((MAX(FILTER(Orders!$D$2:$D$201,Orders!$I$2:$I$201=B47,Orders!$T$2:$T$201=TRUE))-MIN(FILTER(Orders!$D$2:$D$201,Orders!$I$2:$I$201=B47,Orders!$T$2:$T$201=TRUE)))/(E47-1),""""))"),306.0898206018537)</f>
        <v>306.0898206</v>
      </c>
      <c r="I47" s="20">
        <f>IFERROR(AVERAGEIF(Reviews!$H$2:$H$142,B47,Reviews!$C$2:$C$142),"")</f>
        <v>2.666666667</v>
      </c>
      <c r="J47" s="20">
        <f>SUMIF(Interactions!$B$2:$B$481,B47,Interactions!$I$2:$I$481)</f>
        <v>14</v>
      </c>
      <c r="K47" s="20">
        <f t="shared" si="2"/>
        <v>3</v>
      </c>
      <c r="L47" s="20">
        <f t="shared" si="3"/>
        <v>4</v>
      </c>
      <c r="M47" s="20">
        <f t="shared" si="4"/>
        <v>5</v>
      </c>
      <c r="N47" s="28">
        <f t="shared" si="5"/>
        <v>77.6</v>
      </c>
      <c r="O47" s="20" t="str">
        <f t="shared" si="6"/>
        <v>Tiềm năng</v>
      </c>
      <c r="P47" s="23" t="s">
        <v>2622</v>
      </c>
    </row>
    <row r="48" ht="18.0" customHeight="1">
      <c r="A48" s="26">
        <v>46247.0</v>
      </c>
      <c r="B48" s="23" t="s">
        <v>475</v>
      </c>
      <c r="C48" s="20" t="str">
        <f>IFERROR(VLOOKUP(B48,Customers!$B$2:$L$81,11,FALSE),"")</f>
        <v>EMP007</v>
      </c>
      <c r="D48" s="20">
        <f>IFERROR(__xludf.DUMMYFUNCTION("IFERROR(A48-MAX(FILTER(Orders!$D$2:$D$201,Orders!$I$2:$I$201=B48,Orders!$T$2:$T$201=TRUE)),"""")"),24.061168981483206)</f>
        <v>24.06116898</v>
      </c>
      <c r="E48" s="20">
        <f>COUNTIFS(Orders!$I$2:$I$201,B48,Orders!$T$2:$T$201,TRUE)</f>
        <v>2</v>
      </c>
      <c r="F48" s="28">
        <f>SUMIFS(Orders!$R$2:$R$201,Orders!$I$2:$I$201,B48,Orders!$T$2:$T$201,TRUE)</f>
        <v>4378000</v>
      </c>
      <c r="G48" s="28">
        <f t="shared" si="1"/>
        <v>2189000</v>
      </c>
      <c r="H48" s="28">
        <f>IFERROR(__xludf.DUMMYFUNCTION("IF(E48&lt;2,"""",IFERROR((MAX(FILTER(Orders!$D$2:$D$201,Orders!$I$2:$I$201=B48,Orders!$T$2:$T$201=TRUE))-MIN(FILTER(Orders!$D$2:$D$201,Orders!$I$2:$I$201=B48,Orders!$T$2:$T$201=TRUE)))/(E48-1),""""))"),892.4212152777764)</f>
        <v>892.4212153</v>
      </c>
      <c r="I48" s="20">
        <f>IFERROR(AVERAGEIF(Reviews!$H$2:$H$142,B48,Reviews!$C$2:$C$142),"")</f>
        <v>5</v>
      </c>
      <c r="J48" s="20">
        <f>SUMIF(Interactions!$B$2:$B$481,B48,Interactions!$I$2:$I$481)</f>
        <v>12</v>
      </c>
      <c r="K48" s="20">
        <f t="shared" si="2"/>
        <v>5</v>
      </c>
      <c r="L48" s="20">
        <f t="shared" si="3"/>
        <v>4</v>
      </c>
      <c r="M48" s="20">
        <f t="shared" si="4"/>
        <v>4</v>
      </c>
      <c r="N48" s="28">
        <f t="shared" si="5"/>
        <v>82.8</v>
      </c>
      <c r="O48" s="20" t="str">
        <f t="shared" si="6"/>
        <v>Tiềm năng cao</v>
      </c>
      <c r="P48" s="23" t="s">
        <v>2622</v>
      </c>
    </row>
    <row r="49" ht="18.0" customHeight="1">
      <c r="A49" s="26">
        <v>46247.0</v>
      </c>
      <c r="B49" s="23" t="s">
        <v>485</v>
      </c>
      <c r="C49" s="20" t="str">
        <f>IFERROR(VLOOKUP(B49,Customers!$B$2:$L$81,11,FALSE),"")</f>
        <v>EMP008</v>
      </c>
      <c r="D49" s="20">
        <f>IFERROR(__xludf.DUMMYFUNCTION("IFERROR(A49-MAX(FILTER(Orders!$D$2:$D$201,Orders!$I$2:$I$201=B49,Orders!$T$2:$T$201=TRUE)),"""")"),610.271967592591)</f>
        <v>610.2719676</v>
      </c>
      <c r="E49" s="20">
        <f>COUNTIFS(Orders!$I$2:$I$201,B49,Orders!$T$2:$T$201,TRUE)</f>
        <v>2</v>
      </c>
      <c r="F49" s="28">
        <f>SUMIFS(Orders!$R$2:$R$201,Orders!$I$2:$I$201,B49,Orders!$T$2:$T$201,TRUE)</f>
        <v>4457000</v>
      </c>
      <c r="G49" s="28">
        <f t="shared" si="1"/>
        <v>2228500</v>
      </c>
      <c r="H49" s="28">
        <f>IFERROR(__xludf.DUMMYFUNCTION("IF(E49&lt;2,"""",IFERROR((MAX(FILTER(Orders!$D$2:$D$201,Orders!$I$2:$I$201=B49,Orders!$T$2:$T$201=TRUE))-MIN(FILTER(Orders!$D$2:$D$201,Orders!$I$2:$I$201=B49,Orders!$T$2:$T$201=TRUE)))/(E49-1),""""))"),62.047303240738984)</f>
        <v>62.04730324</v>
      </c>
      <c r="I49" s="20">
        <f>IFERROR(AVERAGEIF(Reviews!$H$2:$H$142,B49,Reviews!$C$2:$C$142),"")</f>
        <v>3</v>
      </c>
      <c r="J49" s="20">
        <f>SUMIF(Interactions!$B$2:$B$481,B49,Interactions!$I$2:$I$481)</f>
        <v>13</v>
      </c>
      <c r="K49" s="20">
        <f t="shared" si="2"/>
        <v>1</v>
      </c>
      <c r="L49" s="20">
        <f t="shared" si="3"/>
        <v>4</v>
      </c>
      <c r="M49" s="20">
        <f t="shared" si="4"/>
        <v>5</v>
      </c>
      <c r="N49" s="28">
        <f t="shared" si="5"/>
        <v>61.2</v>
      </c>
      <c r="O49" s="20" t="str">
        <f t="shared" si="6"/>
        <v>Tiềm năng</v>
      </c>
      <c r="P49" s="23" t="s">
        <v>2622</v>
      </c>
    </row>
    <row r="50" ht="18.0" customHeight="1">
      <c r="A50" s="26">
        <v>46247.0</v>
      </c>
      <c r="B50" s="23" t="s">
        <v>491</v>
      </c>
      <c r="C50" s="20" t="str">
        <f>IFERROR(VLOOKUP(B50,Customers!$B$2:$L$81,11,FALSE),"")</f>
        <v>EMP001</v>
      </c>
      <c r="D50" s="20" t="str">
        <f>IFERROR(__xludf.DUMMYFUNCTION("IFERROR(A50-MAX(FILTER(Orders!$D$2:$D$201,Orders!$I$2:$I$201=B50,Orders!$T$2:$T$201=TRUE)),"""")"),"")</f>
        <v/>
      </c>
      <c r="E50" s="20">
        <f>COUNTIFS(Orders!$I$2:$I$201,B50,Orders!$T$2:$T$201,TRUE)</f>
        <v>0</v>
      </c>
      <c r="F50" s="28">
        <f>SUMIFS(Orders!$R$2:$R$201,Orders!$I$2:$I$201,B50,Orders!$T$2:$T$201,TRUE)</f>
        <v>0</v>
      </c>
      <c r="G50" s="28">
        <f t="shared" si="1"/>
        <v>0</v>
      </c>
      <c r="H50" s="28" t="str">
        <f>IFERROR(__xludf.DUMMYFUNCTION("IF(E50&lt;2,"""",IFERROR((MAX(FILTER(Orders!$D$2:$D$201,Orders!$I$2:$I$201=B50,Orders!$T$2:$T$201=TRUE))-MIN(FILTER(Orders!$D$2:$D$201,Orders!$I$2:$I$201=B50,Orders!$T$2:$T$201=TRUE)))/(E50-1),""""))"),"")</f>
        <v/>
      </c>
      <c r="I50" s="20" t="str">
        <f>IFERROR(AVERAGEIF(Reviews!$H$2:$H$142,B50,Reviews!$C$2:$C$142),"")</f>
        <v/>
      </c>
      <c r="J50" s="20">
        <f>SUMIF(Interactions!$B$2:$B$481,B50,Interactions!$I$2:$I$481)</f>
        <v>13</v>
      </c>
      <c r="K50" s="20" t="str">
        <f t="shared" si="2"/>
        <v/>
      </c>
      <c r="L50" s="20">
        <f t="shared" si="3"/>
        <v>1</v>
      </c>
      <c r="M50" s="20">
        <f t="shared" si="4"/>
        <v>1</v>
      </c>
      <c r="N50" s="28" t="str">
        <f t="shared" si="5"/>
        <v/>
      </c>
      <c r="O50" s="20" t="str">
        <f t="shared" si="6"/>
        <v>Chưa đủ dữ liệu</v>
      </c>
      <c r="P50" s="23" t="s">
        <v>2622</v>
      </c>
    </row>
    <row r="51" ht="18.0" customHeight="1">
      <c r="A51" s="26">
        <v>46247.0</v>
      </c>
      <c r="B51" s="23" t="s">
        <v>499</v>
      </c>
      <c r="C51" s="20" t="str">
        <f>IFERROR(VLOOKUP(B51,Customers!$B$2:$L$81,11,FALSE),"")</f>
        <v>EMP002</v>
      </c>
      <c r="D51" s="20">
        <f>IFERROR(__xludf.DUMMYFUNCTION("IFERROR(A51-MAX(FILTER(Orders!$D$2:$D$201,Orders!$I$2:$I$201=B51,Orders!$T$2:$T$201=TRUE)),"""")"),370.6144675925898)</f>
        <v>370.6144676</v>
      </c>
      <c r="E51" s="20">
        <f>COUNTIFS(Orders!$I$2:$I$201,B51,Orders!$T$2:$T$201,TRUE)</f>
        <v>3</v>
      </c>
      <c r="F51" s="28">
        <f>SUMIFS(Orders!$R$2:$R$201,Orders!$I$2:$I$201,B51,Orders!$T$2:$T$201,TRUE)</f>
        <v>4044000</v>
      </c>
      <c r="G51" s="28">
        <f t="shared" si="1"/>
        <v>1348000</v>
      </c>
      <c r="H51" s="28">
        <f>IFERROR(__xludf.DUMMYFUNCTION("IF(E51&lt;2,"""",IFERROR((MAX(FILTER(Orders!$D$2:$D$201,Orders!$I$2:$I$201=B51,Orders!$T$2:$T$201=TRUE))-MIN(FILTER(Orders!$D$2:$D$201,Orders!$I$2:$I$201=B51,Orders!$T$2:$T$201=TRUE)))/(E51-1),""""))"),98.44269097222423)</f>
        <v>98.44269097</v>
      </c>
      <c r="I51" s="20">
        <f>IFERROR(AVERAGEIF(Reviews!$H$2:$H$142,B51,Reviews!$C$2:$C$142),"")</f>
        <v>5</v>
      </c>
      <c r="J51" s="20">
        <f>SUMIF(Interactions!$B$2:$B$481,B51,Interactions!$I$2:$I$481)</f>
        <v>10</v>
      </c>
      <c r="K51" s="20">
        <f t="shared" si="2"/>
        <v>2</v>
      </c>
      <c r="L51" s="20">
        <f t="shared" si="3"/>
        <v>4</v>
      </c>
      <c r="M51" s="20">
        <f t="shared" si="4"/>
        <v>4</v>
      </c>
      <c r="N51" s="28">
        <f t="shared" si="5"/>
        <v>57</v>
      </c>
      <c r="O51" s="20" t="str">
        <f t="shared" si="6"/>
        <v>Thông thường</v>
      </c>
      <c r="P51" s="23" t="s">
        <v>2622</v>
      </c>
    </row>
    <row r="52" ht="18.0" customHeight="1">
      <c r="A52" s="26">
        <v>46247.0</v>
      </c>
      <c r="B52" s="23" t="s">
        <v>505</v>
      </c>
      <c r="C52" s="20" t="str">
        <f>IFERROR(VLOOKUP(B52,Customers!$B$2:$L$81,11,FALSE),"")</f>
        <v>EMP003</v>
      </c>
      <c r="D52" s="20" t="str">
        <f>IFERROR(__xludf.DUMMYFUNCTION("IFERROR(A52-MAX(FILTER(Orders!$D$2:$D$201,Orders!$I$2:$I$201=B52,Orders!$T$2:$T$201=TRUE)),"""")"),"")</f>
        <v/>
      </c>
      <c r="E52" s="20">
        <f>COUNTIFS(Orders!$I$2:$I$201,B52,Orders!$T$2:$T$201,TRUE)</f>
        <v>0</v>
      </c>
      <c r="F52" s="28">
        <f>SUMIFS(Orders!$R$2:$R$201,Orders!$I$2:$I$201,B52,Orders!$T$2:$T$201,TRUE)</f>
        <v>0</v>
      </c>
      <c r="G52" s="28">
        <f t="shared" si="1"/>
        <v>0</v>
      </c>
      <c r="H52" s="28" t="str">
        <f>IFERROR(__xludf.DUMMYFUNCTION("IF(E52&lt;2,"""",IFERROR((MAX(FILTER(Orders!$D$2:$D$201,Orders!$I$2:$I$201=B52,Orders!$T$2:$T$201=TRUE))-MIN(FILTER(Orders!$D$2:$D$201,Orders!$I$2:$I$201=B52,Orders!$T$2:$T$201=TRUE)))/(E52-1),""""))"),"")</f>
        <v/>
      </c>
      <c r="I52" s="20" t="str">
        <f>IFERROR(AVERAGEIF(Reviews!$H$2:$H$142,B52,Reviews!$C$2:$C$142),"")</f>
        <v/>
      </c>
      <c r="J52" s="20">
        <f>SUMIF(Interactions!$B$2:$B$481,B52,Interactions!$I$2:$I$481)</f>
        <v>15</v>
      </c>
      <c r="K52" s="20" t="str">
        <f t="shared" si="2"/>
        <v/>
      </c>
      <c r="L52" s="20">
        <f t="shared" si="3"/>
        <v>1</v>
      </c>
      <c r="M52" s="20">
        <f t="shared" si="4"/>
        <v>1</v>
      </c>
      <c r="N52" s="28" t="str">
        <f t="shared" si="5"/>
        <v/>
      </c>
      <c r="O52" s="20" t="str">
        <f t="shared" si="6"/>
        <v>Chưa đủ dữ liệu</v>
      </c>
      <c r="P52" s="23" t="s">
        <v>2622</v>
      </c>
    </row>
    <row r="53" ht="18.0" customHeight="1">
      <c r="A53" s="26">
        <v>46247.0</v>
      </c>
      <c r="B53" s="23" t="s">
        <v>512</v>
      </c>
      <c r="C53" s="20" t="str">
        <f>IFERROR(VLOOKUP(B53,Customers!$B$2:$L$81,11,FALSE),"")</f>
        <v>EMP004</v>
      </c>
      <c r="D53" s="20">
        <f>IFERROR(__xludf.DUMMYFUNCTION("IFERROR(A53-MAX(FILTER(Orders!$D$2:$D$201,Orders!$I$2:$I$201=B53,Orders!$T$2:$T$201=TRUE)),"""")"),328.80321759259095)</f>
        <v>328.8032176</v>
      </c>
      <c r="E53" s="20">
        <f>COUNTIFS(Orders!$I$2:$I$201,B53,Orders!$T$2:$T$201,TRUE)</f>
        <v>3</v>
      </c>
      <c r="F53" s="28">
        <f>SUMIFS(Orders!$R$2:$R$201,Orders!$I$2:$I$201,B53,Orders!$T$2:$T$201,TRUE)</f>
        <v>4955000</v>
      </c>
      <c r="G53" s="28">
        <f t="shared" si="1"/>
        <v>1651666.667</v>
      </c>
      <c r="H53" s="28">
        <f>IFERROR(__xludf.DUMMYFUNCTION("IF(E53&lt;2,"""",IFERROR((MAX(FILTER(Orders!$D$2:$D$201,Orders!$I$2:$I$201=B53,Orders!$T$2:$T$201=TRUE))-MIN(FILTER(Orders!$D$2:$D$201,Orders!$I$2:$I$201=B53,Orders!$T$2:$T$201=TRUE)))/(E53-1),""""))"),198.72207754629562)</f>
        <v>198.7220775</v>
      </c>
      <c r="I53" s="20">
        <f>IFERROR(AVERAGEIF(Reviews!$H$2:$H$142,B53,Reviews!$C$2:$C$142),"")</f>
        <v>3.666666667</v>
      </c>
      <c r="J53" s="20">
        <f>SUMIF(Interactions!$B$2:$B$481,B53,Interactions!$I$2:$I$481)</f>
        <v>14</v>
      </c>
      <c r="K53" s="20">
        <f t="shared" si="2"/>
        <v>2</v>
      </c>
      <c r="L53" s="20">
        <f t="shared" si="3"/>
        <v>4</v>
      </c>
      <c r="M53" s="20">
        <f t="shared" si="4"/>
        <v>5</v>
      </c>
      <c r="N53" s="28">
        <f t="shared" si="5"/>
        <v>70.6</v>
      </c>
      <c r="O53" s="20" t="str">
        <f t="shared" si="6"/>
        <v>Tiềm năng</v>
      </c>
      <c r="P53" s="23" t="s">
        <v>2622</v>
      </c>
    </row>
    <row r="54" ht="18.0" customHeight="1">
      <c r="A54" s="26">
        <v>46247.0</v>
      </c>
      <c r="B54" s="23" t="s">
        <v>520</v>
      </c>
      <c r="C54" s="20" t="str">
        <f>IFERROR(VLOOKUP(B54,Customers!$B$2:$L$81,11,FALSE),"")</f>
        <v>EMP005</v>
      </c>
      <c r="D54" s="20">
        <f>IFERROR(__xludf.DUMMYFUNCTION("IFERROR(A54-MAX(FILTER(Orders!$D$2:$D$201,Orders!$I$2:$I$201=B54,Orders!$T$2:$T$201=TRUE)),"""")"),240.1283449074108)</f>
        <v>240.1283449</v>
      </c>
      <c r="E54" s="20">
        <f>COUNTIFS(Orders!$I$2:$I$201,B54,Orders!$T$2:$T$201,TRUE)</f>
        <v>4</v>
      </c>
      <c r="F54" s="28">
        <f>SUMIFS(Orders!$R$2:$R$201,Orders!$I$2:$I$201,B54,Orders!$T$2:$T$201,TRUE)</f>
        <v>2581000</v>
      </c>
      <c r="G54" s="28">
        <f t="shared" si="1"/>
        <v>645250</v>
      </c>
      <c r="H54" s="28">
        <f>IFERROR(__xludf.DUMMYFUNCTION("IF(E54&lt;2,"""",IFERROR((MAX(FILTER(Orders!$D$2:$D$201,Orders!$I$2:$I$201=B54,Orders!$T$2:$T$201=TRUE))-MIN(FILTER(Orders!$D$2:$D$201,Orders!$I$2:$I$201=B54,Orders!$T$2:$T$201=TRUE)))/(E54-1),""""))"),193.2136766975309)</f>
        <v>193.2136767</v>
      </c>
      <c r="I54" s="20">
        <f>IFERROR(AVERAGEIF(Reviews!$H$2:$H$142,B54,Reviews!$C$2:$C$142),"")</f>
        <v>3.8</v>
      </c>
      <c r="J54" s="20">
        <f>SUMIF(Interactions!$B$2:$B$481,B54,Interactions!$I$2:$I$481)</f>
        <v>11</v>
      </c>
      <c r="K54" s="20">
        <f t="shared" si="2"/>
        <v>3</v>
      </c>
      <c r="L54" s="20">
        <f t="shared" si="3"/>
        <v>5</v>
      </c>
      <c r="M54" s="20">
        <f t="shared" si="4"/>
        <v>4</v>
      </c>
      <c r="N54" s="28">
        <f t="shared" si="5"/>
        <v>72.4</v>
      </c>
      <c r="O54" s="20" t="str">
        <f t="shared" si="6"/>
        <v>Tiềm năng</v>
      </c>
      <c r="P54" s="23" t="s">
        <v>2622</v>
      </c>
    </row>
    <row r="55" ht="18.0" customHeight="1">
      <c r="A55" s="26">
        <v>46247.0</v>
      </c>
      <c r="B55" s="23" t="s">
        <v>529</v>
      </c>
      <c r="C55" s="20" t="str">
        <f>IFERROR(VLOOKUP(B55,Customers!$B$2:$L$81,11,FALSE),"")</f>
        <v>EMP006</v>
      </c>
      <c r="D55" s="20">
        <f>IFERROR(__xludf.DUMMYFUNCTION("IFERROR(A55-MAX(FILTER(Orders!$D$2:$D$201,Orders!$I$2:$I$201=B55,Orders!$T$2:$T$201=TRUE)),"""")"),84.05750000000262)</f>
        <v>84.0575</v>
      </c>
      <c r="E55" s="20">
        <f>COUNTIFS(Orders!$I$2:$I$201,B55,Orders!$T$2:$T$201,TRUE)</f>
        <v>1</v>
      </c>
      <c r="F55" s="28">
        <f>SUMIFS(Orders!$R$2:$R$201,Orders!$I$2:$I$201,B55,Orders!$T$2:$T$201,TRUE)</f>
        <v>921000</v>
      </c>
      <c r="G55" s="28">
        <f t="shared" si="1"/>
        <v>921000</v>
      </c>
      <c r="H55" s="28" t="str">
        <f>IFERROR(__xludf.DUMMYFUNCTION("IF(E55&lt;2,"""",IFERROR((MAX(FILTER(Orders!$D$2:$D$201,Orders!$I$2:$I$201=B55,Orders!$T$2:$T$201=TRUE))-MIN(FILTER(Orders!$D$2:$D$201,Orders!$I$2:$I$201=B55,Orders!$T$2:$T$201=TRUE)))/(E55-1),""""))"),"")</f>
        <v/>
      </c>
      <c r="I55" s="20">
        <f>IFERROR(AVERAGEIF(Reviews!$H$2:$H$142,B55,Reviews!$C$2:$C$142),"")</f>
        <v>2</v>
      </c>
      <c r="J55" s="20">
        <f>SUMIF(Interactions!$B$2:$B$481,B55,Interactions!$I$2:$I$481)</f>
        <v>14</v>
      </c>
      <c r="K55" s="20">
        <f t="shared" si="2"/>
        <v>4</v>
      </c>
      <c r="L55" s="20">
        <f t="shared" si="3"/>
        <v>3</v>
      </c>
      <c r="M55" s="20">
        <f t="shared" si="4"/>
        <v>3</v>
      </c>
      <c r="N55" s="28">
        <f t="shared" si="5"/>
        <v>70.6</v>
      </c>
      <c r="O55" s="20" t="str">
        <f t="shared" si="6"/>
        <v>Tiềm năng</v>
      </c>
      <c r="P55" s="23" t="s">
        <v>2622</v>
      </c>
    </row>
    <row r="56" ht="18.0" customHeight="1">
      <c r="A56" s="26">
        <v>46247.0</v>
      </c>
      <c r="B56" s="23" t="s">
        <v>536</v>
      </c>
      <c r="C56" s="20" t="str">
        <f>IFERROR(VLOOKUP(B56,Customers!$B$2:$L$81,11,FALSE),"")</f>
        <v>EMP007</v>
      </c>
      <c r="D56" s="20">
        <f>IFERROR(__xludf.DUMMYFUNCTION("IFERROR(A56-MAX(FILTER(Orders!$D$2:$D$201,Orders!$I$2:$I$201=B56,Orders!$T$2:$T$201=TRUE)),"""")"),608.1821180555562)</f>
        <v>608.1821181</v>
      </c>
      <c r="E56" s="20">
        <f>COUNTIFS(Orders!$I$2:$I$201,B56,Orders!$T$2:$T$201,TRUE)</f>
        <v>1</v>
      </c>
      <c r="F56" s="28">
        <f>SUMIFS(Orders!$R$2:$R$201,Orders!$I$2:$I$201,B56,Orders!$T$2:$T$201,TRUE)</f>
        <v>995000</v>
      </c>
      <c r="G56" s="28">
        <f t="shared" si="1"/>
        <v>995000</v>
      </c>
      <c r="H56" s="28" t="str">
        <f>IFERROR(__xludf.DUMMYFUNCTION("IF(E56&lt;2,"""",IFERROR((MAX(FILTER(Orders!$D$2:$D$201,Orders!$I$2:$I$201=B56,Orders!$T$2:$T$201=TRUE))-MIN(FILTER(Orders!$D$2:$D$201,Orders!$I$2:$I$201=B56,Orders!$T$2:$T$201=TRUE)))/(E56-1),""""))"),"")</f>
        <v/>
      </c>
      <c r="I56" s="20">
        <f>IFERROR(AVERAGEIF(Reviews!$H$2:$H$142,B56,Reviews!$C$2:$C$142),"")</f>
        <v>4</v>
      </c>
      <c r="J56" s="20">
        <f>SUMIF(Interactions!$B$2:$B$481,B56,Interactions!$I$2:$I$481)</f>
        <v>12</v>
      </c>
      <c r="K56" s="20">
        <f t="shared" si="2"/>
        <v>1</v>
      </c>
      <c r="L56" s="20">
        <f t="shared" si="3"/>
        <v>3</v>
      </c>
      <c r="M56" s="20">
        <f t="shared" si="4"/>
        <v>3</v>
      </c>
      <c r="N56" s="28">
        <f t="shared" si="5"/>
        <v>44.8</v>
      </c>
      <c r="O56" s="20" t="str">
        <f t="shared" si="6"/>
        <v>Thông thường</v>
      </c>
      <c r="P56" s="23" t="s">
        <v>2622</v>
      </c>
    </row>
    <row r="57" ht="18.0" customHeight="1">
      <c r="A57" s="26">
        <v>46247.0</v>
      </c>
      <c r="B57" s="23" t="s">
        <v>254</v>
      </c>
      <c r="C57" s="20" t="str">
        <f>IFERROR(VLOOKUP(B57,Customers!$B$2:$L$81,11,FALSE),"")</f>
        <v>EMP008</v>
      </c>
      <c r="D57" s="20">
        <f>IFERROR(__xludf.DUMMYFUNCTION("IFERROR(A57-MAX(FILTER(Orders!$D$2:$D$201,Orders!$I$2:$I$201=B57,Orders!$T$2:$T$201=TRUE)),"""")"),73.29244212962658)</f>
        <v>73.29244213</v>
      </c>
      <c r="E57" s="20">
        <f>COUNTIFS(Orders!$I$2:$I$201,B57,Orders!$T$2:$T$201,TRUE)</f>
        <v>4</v>
      </c>
      <c r="F57" s="28">
        <f>SUMIFS(Orders!$R$2:$R$201,Orders!$I$2:$I$201,B57,Orders!$T$2:$T$201,TRUE)</f>
        <v>8371000</v>
      </c>
      <c r="G57" s="28">
        <f t="shared" si="1"/>
        <v>2092750</v>
      </c>
      <c r="H57" s="28">
        <f>IFERROR(__xludf.DUMMYFUNCTION("IF(E57&lt;2,"""",IFERROR((MAX(FILTER(Orders!$D$2:$D$201,Orders!$I$2:$I$201=B57,Orders!$T$2:$T$201=TRUE))-MIN(FILTER(Orders!$D$2:$D$201,Orders!$I$2:$I$201=B57,Orders!$T$2:$T$201=TRUE)))/(E57-1),""""))"),263.16552469135786)</f>
        <v>263.1655247</v>
      </c>
      <c r="I57" s="20">
        <f>IFERROR(AVERAGEIF(Reviews!$H$2:$H$142,B57,Reviews!$C$2:$C$142),"")</f>
        <v>4.333333333</v>
      </c>
      <c r="J57" s="20">
        <f>SUMIF(Interactions!$B$2:$B$481,B57,Interactions!$I$2:$I$481)</f>
        <v>13</v>
      </c>
      <c r="K57" s="20">
        <f t="shared" si="2"/>
        <v>4</v>
      </c>
      <c r="L57" s="20">
        <f t="shared" si="3"/>
        <v>5</v>
      </c>
      <c r="M57" s="20">
        <f t="shared" si="4"/>
        <v>5</v>
      </c>
      <c r="N57" s="28">
        <f t="shared" si="5"/>
        <v>88.2</v>
      </c>
      <c r="O57" s="20" t="str">
        <f t="shared" si="6"/>
        <v>Tiềm năng cao</v>
      </c>
      <c r="P57" s="23" t="s">
        <v>2622</v>
      </c>
    </row>
    <row r="58" ht="18.0" customHeight="1">
      <c r="A58" s="26">
        <v>46247.0</v>
      </c>
      <c r="B58" s="23" t="s">
        <v>95</v>
      </c>
      <c r="C58" s="20" t="str">
        <f>IFERROR(VLOOKUP(B58,Customers!$B$2:$L$81,11,FALSE),"")</f>
        <v>EMP001</v>
      </c>
      <c r="D58" s="20">
        <f>IFERROR(__xludf.DUMMYFUNCTION("IFERROR(A58-MAX(FILTER(Orders!$D$2:$D$201,Orders!$I$2:$I$201=B58,Orders!$T$2:$T$201=TRUE)),"""")"),341.68664351852203)</f>
        <v>341.6866435</v>
      </c>
      <c r="E58" s="20">
        <f>COUNTIFS(Orders!$I$2:$I$201,B58,Orders!$T$2:$T$201,TRUE)</f>
        <v>3</v>
      </c>
      <c r="F58" s="28">
        <f>SUMIFS(Orders!$R$2:$R$201,Orders!$I$2:$I$201,B58,Orders!$T$2:$T$201,TRUE)</f>
        <v>5182000</v>
      </c>
      <c r="G58" s="28">
        <f t="shared" si="1"/>
        <v>1727333.333</v>
      </c>
      <c r="H58" s="28">
        <f>IFERROR(__xludf.DUMMYFUNCTION("IF(E58&lt;2,"""",IFERROR((MAX(FILTER(Orders!$D$2:$D$201,Orders!$I$2:$I$201=B58,Orders!$T$2:$T$201=TRUE))-MIN(FILTER(Orders!$D$2:$D$201,Orders!$I$2:$I$201=B58,Orders!$T$2:$T$201=TRUE)))/(E58-1),""""))"),263.42714120370147)</f>
        <v>263.4271412</v>
      </c>
      <c r="I58" s="20">
        <f>IFERROR(AVERAGEIF(Reviews!$H$2:$H$142,B58,Reviews!$C$2:$C$142),"")</f>
        <v>3.666666667</v>
      </c>
      <c r="J58" s="20">
        <f>SUMIF(Interactions!$B$2:$B$481,B58,Interactions!$I$2:$I$481)</f>
        <v>13</v>
      </c>
      <c r="K58" s="20">
        <f t="shared" si="2"/>
        <v>2</v>
      </c>
      <c r="L58" s="20">
        <f t="shared" si="3"/>
        <v>4</v>
      </c>
      <c r="M58" s="20">
        <f t="shared" si="4"/>
        <v>5</v>
      </c>
      <c r="N58" s="28">
        <f t="shared" si="5"/>
        <v>68.2</v>
      </c>
      <c r="O58" s="20" t="str">
        <f t="shared" si="6"/>
        <v>Tiềm năng</v>
      </c>
      <c r="P58" s="23" t="s">
        <v>2622</v>
      </c>
    </row>
    <row r="59" ht="18.0" customHeight="1">
      <c r="A59" s="26">
        <v>46247.0</v>
      </c>
      <c r="B59" s="23" t="s">
        <v>552</v>
      </c>
      <c r="C59" s="20" t="str">
        <f>IFERROR(VLOOKUP(B59,Customers!$B$2:$L$81,11,FALSE),"")</f>
        <v>EMP002</v>
      </c>
      <c r="D59" s="20">
        <f>IFERROR(__xludf.DUMMYFUNCTION("IFERROR(A59-MAX(FILTER(Orders!$D$2:$D$201,Orders!$I$2:$I$201=B59,Orders!$T$2:$T$201=TRUE)),"""")"),219.08712962963182)</f>
        <v>219.0871296</v>
      </c>
      <c r="E59" s="20">
        <f>COUNTIFS(Orders!$I$2:$I$201,B59,Orders!$T$2:$T$201,TRUE)</f>
        <v>2</v>
      </c>
      <c r="F59" s="28">
        <f>SUMIFS(Orders!$R$2:$R$201,Orders!$I$2:$I$201,B59,Orders!$T$2:$T$201,TRUE)</f>
        <v>4101000</v>
      </c>
      <c r="G59" s="28">
        <f t="shared" si="1"/>
        <v>2050500</v>
      </c>
      <c r="H59" s="28">
        <f>IFERROR(__xludf.DUMMYFUNCTION("IF(E59&lt;2,"""",IFERROR((MAX(FILTER(Orders!$D$2:$D$201,Orders!$I$2:$I$201=B59,Orders!$T$2:$T$201=TRUE))-MIN(FILTER(Orders!$D$2:$D$201,Orders!$I$2:$I$201=B59,Orders!$T$2:$T$201=TRUE)))/(E59-1),""""))"),122.89684027777548)</f>
        <v>122.8968403</v>
      </c>
      <c r="I59" s="20">
        <f>IFERROR(AVERAGEIF(Reviews!$H$2:$H$142,B59,Reviews!$C$2:$C$142),"")</f>
        <v>3.5</v>
      </c>
      <c r="J59" s="20">
        <f>SUMIF(Interactions!$B$2:$B$481,B59,Interactions!$I$2:$I$481)</f>
        <v>10</v>
      </c>
      <c r="K59" s="20">
        <f t="shared" si="2"/>
        <v>3</v>
      </c>
      <c r="L59" s="20">
        <f t="shared" si="3"/>
        <v>4</v>
      </c>
      <c r="M59" s="20">
        <f t="shared" si="4"/>
        <v>4</v>
      </c>
      <c r="N59" s="28">
        <f t="shared" si="5"/>
        <v>64</v>
      </c>
      <c r="O59" s="20" t="str">
        <f t="shared" si="6"/>
        <v>Tiềm năng</v>
      </c>
      <c r="P59" s="23" t="s">
        <v>2622</v>
      </c>
    </row>
    <row r="60" ht="18.0" customHeight="1">
      <c r="A60" s="26">
        <v>46247.0</v>
      </c>
      <c r="B60" s="23" t="s">
        <v>560</v>
      </c>
      <c r="C60" s="20" t="str">
        <f>IFERROR(VLOOKUP(B60,Customers!$B$2:$L$81,11,FALSE),"")</f>
        <v>EMP003</v>
      </c>
      <c r="D60" s="20">
        <f>IFERROR(__xludf.DUMMYFUNCTION("IFERROR(A60-MAX(FILTER(Orders!$D$2:$D$201,Orders!$I$2:$I$201=B60,Orders!$T$2:$T$201=TRUE)),"""")"),526.8626041666648)</f>
        <v>526.8626042</v>
      </c>
      <c r="E60" s="20">
        <f>COUNTIFS(Orders!$I$2:$I$201,B60,Orders!$T$2:$T$201,TRUE)</f>
        <v>1</v>
      </c>
      <c r="F60" s="28">
        <f>SUMIFS(Orders!$R$2:$R$201,Orders!$I$2:$I$201,B60,Orders!$T$2:$T$201,TRUE)</f>
        <v>2452000</v>
      </c>
      <c r="G60" s="28">
        <f t="shared" si="1"/>
        <v>2452000</v>
      </c>
      <c r="H60" s="28" t="str">
        <f>IFERROR(__xludf.DUMMYFUNCTION("IF(E60&lt;2,"""",IFERROR((MAX(FILTER(Orders!$D$2:$D$201,Orders!$I$2:$I$201=B60,Orders!$T$2:$T$201=TRUE))-MIN(FILTER(Orders!$D$2:$D$201,Orders!$I$2:$I$201=B60,Orders!$T$2:$T$201=TRUE)))/(E60-1),""""))"),"")</f>
        <v/>
      </c>
      <c r="I60" s="20">
        <f>IFERROR(AVERAGEIF(Reviews!$H$2:$H$142,B60,Reviews!$C$2:$C$142),"")</f>
        <v>3</v>
      </c>
      <c r="J60" s="20">
        <f>SUMIF(Interactions!$B$2:$B$481,B60,Interactions!$I$2:$I$481)</f>
        <v>15</v>
      </c>
      <c r="K60" s="20">
        <f t="shared" si="2"/>
        <v>1</v>
      </c>
      <c r="L60" s="20">
        <f t="shared" si="3"/>
        <v>3</v>
      </c>
      <c r="M60" s="20">
        <f t="shared" si="4"/>
        <v>4</v>
      </c>
      <c r="N60" s="28">
        <f t="shared" si="5"/>
        <v>56</v>
      </c>
      <c r="O60" s="20" t="str">
        <f t="shared" si="6"/>
        <v>Thông thường</v>
      </c>
      <c r="P60" s="23" t="s">
        <v>2622</v>
      </c>
    </row>
    <row r="61" ht="18.0" customHeight="1">
      <c r="A61" s="26">
        <v>46247.0</v>
      </c>
      <c r="B61" s="23" t="s">
        <v>566</v>
      </c>
      <c r="C61" s="20" t="str">
        <f>IFERROR(VLOOKUP(B61,Customers!$B$2:$L$81,11,FALSE),"")</f>
        <v>EMP004</v>
      </c>
      <c r="D61" s="20">
        <f>IFERROR(__xludf.DUMMYFUNCTION("IFERROR(A61-MAX(FILTER(Orders!$D$2:$D$201,Orders!$I$2:$I$201=B61,Orders!$T$2:$T$201=TRUE)),"""")"),56.35927083333081)</f>
        <v>56.35927083</v>
      </c>
      <c r="E61" s="20">
        <f>COUNTIFS(Orders!$I$2:$I$201,B61,Orders!$T$2:$T$201,TRUE)</f>
        <v>3</v>
      </c>
      <c r="F61" s="28">
        <f>SUMIFS(Orders!$R$2:$R$201,Orders!$I$2:$I$201,B61,Orders!$T$2:$T$201,TRUE)</f>
        <v>4623000</v>
      </c>
      <c r="G61" s="28">
        <f t="shared" si="1"/>
        <v>1541000</v>
      </c>
      <c r="H61" s="28">
        <f>IFERROR(__xludf.DUMMYFUNCTION("IF(E61&lt;2,"""",IFERROR((MAX(FILTER(Orders!$D$2:$D$201,Orders!$I$2:$I$201=B61,Orders!$T$2:$T$201=TRUE))-MIN(FILTER(Orders!$D$2:$D$201,Orders!$I$2:$I$201=B61,Orders!$T$2:$T$201=TRUE)))/(E61-1),""""))"),326.61510416666715)</f>
        <v>326.6151042</v>
      </c>
      <c r="I61" s="20">
        <f>IFERROR(AVERAGEIF(Reviews!$H$2:$H$142,B61,Reviews!$C$2:$C$142),"")</f>
        <v>3.666666667</v>
      </c>
      <c r="J61" s="20">
        <f>SUMIF(Interactions!$B$2:$B$481,B61,Interactions!$I$2:$I$481)</f>
        <v>14</v>
      </c>
      <c r="K61" s="20">
        <f t="shared" si="2"/>
        <v>4</v>
      </c>
      <c r="L61" s="20">
        <f t="shared" si="3"/>
        <v>4</v>
      </c>
      <c r="M61" s="20">
        <f t="shared" si="4"/>
        <v>5</v>
      </c>
      <c r="N61" s="28">
        <f t="shared" si="5"/>
        <v>84.6</v>
      </c>
      <c r="O61" s="20" t="str">
        <f t="shared" si="6"/>
        <v>Tiềm năng cao</v>
      </c>
      <c r="P61" s="23" t="s">
        <v>2622</v>
      </c>
    </row>
    <row r="62" ht="18.0" customHeight="1">
      <c r="A62" s="26">
        <v>46247.0</v>
      </c>
      <c r="B62" s="23" t="s">
        <v>571</v>
      </c>
      <c r="C62" s="20" t="str">
        <f>IFERROR(VLOOKUP(B62,Customers!$B$2:$L$81,11,FALSE),"")</f>
        <v>EMP005</v>
      </c>
      <c r="D62" s="20" t="str">
        <f>IFERROR(__xludf.DUMMYFUNCTION("IFERROR(A62-MAX(FILTER(Orders!$D$2:$D$201,Orders!$I$2:$I$201=B62,Orders!$T$2:$T$201=TRUE)),"""")"),"")</f>
        <v/>
      </c>
      <c r="E62" s="20">
        <f>COUNTIFS(Orders!$I$2:$I$201,B62,Orders!$T$2:$T$201,TRUE)</f>
        <v>0</v>
      </c>
      <c r="F62" s="28">
        <f>SUMIFS(Orders!$R$2:$R$201,Orders!$I$2:$I$201,B62,Orders!$T$2:$T$201,TRUE)</f>
        <v>0</v>
      </c>
      <c r="G62" s="28">
        <f t="shared" si="1"/>
        <v>0</v>
      </c>
      <c r="H62" s="28" t="str">
        <f>IFERROR(__xludf.DUMMYFUNCTION("IF(E62&lt;2,"""",IFERROR((MAX(FILTER(Orders!$D$2:$D$201,Orders!$I$2:$I$201=B62,Orders!$T$2:$T$201=TRUE))-MIN(FILTER(Orders!$D$2:$D$201,Orders!$I$2:$I$201=B62,Orders!$T$2:$T$201=TRUE)))/(E62-1),""""))"),"")</f>
        <v/>
      </c>
      <c r="I62" s="20" t="str">
        <f>IFERROR(AVERAGEIF(Reviews!$H$2:$H$142,B62,Reviews!$C$2:$C$142),"")</f>
        <v/>
      </c>
      <c r="J62" s="20">
        <f>SUMIF(Interactions!$B$2:$B$481,B62,Interactions!$I$2:$I$481)</f>
        <v>11</v>
      </c>
      <c r="K62" s="20" t="str">
        <f t="shared" si="2"/>
        <v/>
      </c>
      <c r="L62" s="20">
        <f t="shared" si="3"/>
        <v>1</v>
      </c>
      <c r="M62" s="20">
        <f t="shared" si="4"/>
        <v>1</v>
      </c>
      <c r="N62" s="28" t="str">
        <f t="shared" si="5"/>
        <v/>
      </c>
      <c r="O62" s="20" t="str">
        <f t="shared" si="6"/>
        <v>Chưa đủ dữ liệu</v>
      </c>
      <c r="P62" s="23" t="s">
        <v>2622</v>
      </c>
    </row>
    <row r="63" ht="18.0" customHeight="1">
      <c r="A63" s="26">
        <v>46247.0</v>
      </c>
      <c r="B63" s="23" t="s">
        <v>577</v>
      </c>
      <c r="C63" s="20" t="str">
        <f>IFERROR(VLOOKUP(B63,Customers!$B$2:$L$81,11,FALSE),"")</f>
        <v>EMP006</v>
      </c>
      <c r="D63" s="20" t="str">
        <f>IFERROR(__xludf.DUMMYFUNCTION("IFERROR(A63-MAX(FILTER(Orders!$D$2:$D$201,Orders!$I$2:$I$201=B63,Orders!$T$2:$T$201=TRUE)),"""")"),"")</f>
        <v/>
      </c>
      <c r="E63" s="20">
        <f>COUNTIFS(Orders!$I$2:$I$201,B63,Orders!$T$2:$T$201,TRUE)</f>
        <v>0</v>
      </c>
      <c r="F63" s="28">
        <f>SUMIFS(Orders!$R$2:$R$201,Orders!$I$2:$I$201,B63,Orders!$T$2:$T$201,TRUE)</f>
        <v>0</v>
      </c>
      <c r="G63" s="28">
        <f t="shared" si="1"/>
        <v>0</v>
      </c>
      <c r="H63" s="28" t="str">
        <f>IFERROR(__xludf.DUMMYFUNCTION("IF(E63&lt;2,"""",IFERROR((MAX(FILTER(Orders!$D$2:$D$201,Orders!$I$2:$I$201=B63,Orders!$T$2:$T$201=TRUE))-MIN(FILTER(Orders!$D$2:$D$201,Orders!$I$2:$I$201=B63,Orders!$T$2:$T$201=TRUE)))/(E63-1),""""))"),"")</f>
        <v/>
      </c>
      <c r="I63" s="20" t="str">
        <f>IFERROR(AVERAGEIF(Reviews!$H$2:$H$142,B63,Reviews!$C$2:$C$142),"")</f>
        <v/>
      </c>
      <c r="J63" s="20">
        <f>SUMIF(Interactions!$B$2:$B$481,B63,Interactions!$I$2:$I$481)</f>
        <v>14</v>
      </c>
      <c r="K63" s="20" t="str">
        <f t="shared" si="2"/>
        <v/>
      </c>
      <c r="L63" s="20">
        <f t="shared" si="3"/>
        <v>1</v>
      </c>
      <c r="M63" s="20">
        <f t="shared" si="4"/>
        <v>1</v>
      </c>
      <c r="N63" s="28" t="str">
        <f t="shared" si="5"/>
        <v/>
      </c>
      <c r="O63" s="20" t="str">
        <f t="shared" si="6"/>
        <v>Chưa đủ dữ liệu</v>
      </c>
      <c r="P63" s="23" t="s">
        <v>2622</v>
      </c>
    </row>
    <row r="64" ht="18.0" customHeight="1">
      <c r="A64" s="26">
        <v>46247.0</v>
      </c>
      <c r="B64" s="23" t="s">
        <v>582</v>
      </c>
      <c r="C64" s="20" t="str">
        <f>IFERROR(VLOOKUP(B64,Customers!$B$2:$L$81,11,FALSE),"")</f>
        <v>EMP007</v>
      </c>
      <c r="D64" s="20" t="str">
        <f>IFERROR(__xludf.DUMMYFUNCTION("IFERROR(A64-MAX(FILTER(Orders!$D$2:$D$201,Orders!$I$2:$I$201=B64,Orders!$T$2:$T$201=TRUE)),"""")"),"")</f>
        <v/>
      </c>
      <c r="E64" s="20">
        <f>COUNTIFS(Orders!$I$2:$I$201,B64,Orders!$T$2:$T$201,TRUE)</f>
        <v>0</v>
      </c>
      <c r="F64" s="28">
        <f>SUMIFS(Orders!$R$2:$R$201,Orders!$I$2:$I$201,B64,Orders!$T$2:$T$201,TRUE)</f>
        <v>0</v>
      </c>
      <c r="G64" s="28">
        <f t="shared" si="1"/>
        <v>0</v>
      </c>
      <c r="H64" s="28" t="str">
        <f>IFERROR(__xludf.DUMMYFUNCTION("IF(E64&lt;2,"""",IFERROR((MAX(FILTER(Orders!$D$2:$D$201,Orders!$I$2:$I$201=B64,Orders!$T$2:$T$201=TRUE))-MIN(FILTER(Orders!$D$2:$D$201,Orders!$I$2:$I$201=B64,Orders!$T$2:$T$201=TRUE)))/(E64-1),""""))"),"")</f>
        <v/>
      </c>
      <c r="I64" s="20" t="str">
        <f>IFERROR(AVERAGEIF(Reviews!$H$2:$H$142,B64,Reviews!$C$2:$C$142),"")</f>
        <v/>
      </c>
      <c r="J64" s="20">
        <f>SUMIF(Interactions!$B$2:$B$481,B64,Interactions!$I$2:$I$481)</f>
        <v>12</v>
      </c>
      <c r="K64" s="20" t="str">
        <f t="shared" si="2"/>
        <v/>
      </c>
      <c r="L64" s="20">
        <f t="shared" si="3"/>
        <v>1</v>
      </c>
      <c r="M64" s="20">
        <f t="shared" si="4"/>
        <v>1</v>
      </c>
      <c r="N64" s="28" t="str">
        <f t="shared" si="5"/>
        <v/>
      </c>
      <c r="O64" s="20" t="str">
        <f t="shared" si="6"/>
        <v>Chưa đủ dữ liệu</v>
      </c>
      <c r="P64" s="23" t="s">
        <v>2622</v>
      </c>
    </row>
    <row r="65" ht="18.0" customHeight="1">
      <c r="A65" s="26">
        <v>46247.0</v>
      </c>
      <c r="B65" s="23" t="s">
        <v>588</v>
      </c>
      <c r="C65" s="20" t="str">
        <f>IFERROR(VLOOKUP(B65,Customers!$B$2:$L$81,11,FALSE),"")</f>
        <v>EMP008</v>
      </c>
      <c r="D65" s="20" t="str">
        <f>IFERROR(__xludf.DUMMYFUNCTION("IFERROR(A65-MAX(FILTER(Orders!$D$2:$D$201,Orders!$I$2:$I$201=B65,Orders!$T$2:$T$201=TRUE)),"""")"),"")</f>
        <v/>
      </c>
      <c r="E65" s="20">
        <f>COUNTIFS(Orders!$I$2:$I$201,B65,Orders!$T$2:$T$201,TRUE)</f>
        <v>0</v>
      </c>
      <c r="F65" s="28">
        <f>SUMIFS(Orders!$R$2:$R$201,Orders!$I$2:$I$201,B65,Orders!$T$2:$T$201,TRUE)</f>
        <v>0</v>
      </c>
      <c r="G65" s="28">
        <f t="shared" si="1"/>
        <v>0</v>
      </c>
      <c r="H65" s="28" t="str">
        <f>IFERROR(__xludf.DUMMYFUNCTION("IF(E65&lt;2,"""",IFERROR((MAX(FILTER(Orders!$D$2:$D$201,Orders!$I$2:$I$201=B65,Orders!$T$2:$T$201=TRUE))-MIN(FILTER(Orders!$D$2:$D$201,Orders!$I$2:$I$201=B65,Orders!$T$2:$T$201=TRUE)))/(E65-1),""""))"),"")</f>
        <v/>
      </c>
      <c r="I65" s="20" t="str">
        <f>IFERROR(AVERAGEIF(Reviews!$H$2:$H$142,B65,Reviews!$C$2:$C$142),"")</f>
        <v/>
      </c>
      <c r="J65" s="20">
        <f>SUMIF(Interactions!$B$2:$B$481,B65,Interactions!$I$2:$I$481)</f>
        <v>13</v>
      </c>
      <c r="K65" s="20" t="str">
        <f t="shared" si="2"/>
        <v/>
      </c>
      <c r="L65" s="20">
        <f t="shared" si="3"/>
        <v>1</v>
      </c>
      <c r="M65" s="20">
        <f t="shared" si="4"/>
        <v>1</v>
      </c>
      <c r="N65" s="28" t="str">
        <f t="shared" si="5"/>
        <v/>
      </c>
      <c r="O65" s="20" t="str">
        <f t="shared" si="6"/>
        <v>Chưa đủ dữ liệu</v>
      </c>
      <c r="P65" s="23" t="s">
        <v>2622</v>
      </c>
    </row>
    <row r="66" ht="18.0" customHeight="1">
      <c r="A66" s="26">
        <v>46247.0</v>
      </c>
      <c r="B66" s="23" t="s">
        <v>595</v>
      </c>
      <c r="C66" s="20" t="str">
        <f>IFERROR(VLOOKUP(B66,Customers!$B$2:$L$81,11,FALSE),"")</f>
        <v>EMP001</v>
      </c>
      <c r="D66" s="20" t="str">
        <f>IFERROR(__xludf.DUMMYFUNCTION("IFERROR(A66-MAX(FILTER(Orders!$D$2:$D$201,Orders!$I$2:$I$201=B66,Orders!$T$2:$T$201=TRUE)),"""")"),"")</f>
        <v/>
      </c>
      <c r="E66" s="20">
        <f>COUNTIFS(Orders!$I$2:$I$201,B66,Orders!$T$2:$T$201,TRUE)</f>
        <v>0</v>
      </c>
      <c r="F66" s="28">
        <f>SUMIFS(Orders!$R$2:$R$201,Orders!$I$2:$I$201,B66,Orders!$T$2:$T$201,TRUE)</f>
        <v>0</v>
      </c>
      <c r="G66" s="28">
        <f t="shared" si="1"/>
        <v>0</v>
      </c>
      <c r="H66" s="28" t="str">
        <f>IFERROR(__xludf.DUMMYFUNCTION("IF(E66&lt;2,"""",IFERROR((MAX(FILTER(Orders!$D$2:$D$201,Orders!$I$2:$I$201=B66,Orders!$T$2:$T$201=TRUE))-MIN(FILTER(Orders!$D$2:$D$201,Orders!$I$2:$I$201=B66,Orders!$T$2:$T$201=TRUE)))/(E66-1),""""))"),"")</f>
        <v/>
      </c>
      <c r="I66" s="20" t="str">
        <f>IFERROR(AVERAGEIF(Reviews!$H$2:$H$142,B66,Reviews!$C$2:$C$142),"")</f>
        <v/>
      </c>
      <c r="J66" s="20">
        <f>SUMIF(Interactions!$B$2:$B$481,B66,Interactions!$I$2:$I$481)</f>
        <v>13</v>
      </c>
      <c r="K66" s="20" t="str">
        <f t="shared" si="2"/>
        <v/>
      </c>
      <c r="L66" s="20">
        <f t="shared" si="3"/>
        <v>1</v>
      </c>
      <c r="M66" s="20">
        <f t="shared" si="4"/>
        <v>1</v>
      </c>
      <c r="N66" s="28" t="str">
        <f t="shared" si="5"/>
        <v/>
      </c>
      <c r="O66" s="20" t="str">
        <f t="shared" si="6"/>
        <v>Chưa đủ dữ liệu</v>
      </c>
      <c r="P66" s="23" t="s">
        <v>2622</v>
      </c>
    </row>
    <row r="67" ht="18.0" customHeight="1">
      <c r="A67" s="26">
        <v>46247.0</v>
      </c>
      <c r="B67" s="23" t="s">
        <v>600</v>
      </c>
      <c r="C67" s="20" t="str">
        <f>IFERROR(VLOOKUP(B67,Customers!$B$2:$L$81,11,FALSE),"")</f>
        <v>EMP002</v>
      </c>
      <c r="D67" s="20">
        <f>IFERROR(__xludf.DUMMYFUNCTION("IFERROR(A67-MAX(FILTER(Orders!$D$2:$D$201,Orders!$I$2:$I$201=B67,Orders!$T$2:$T$201=TRUE)),"""")"),388.91157407407445)</f>
        <v>388.9115741</v>
      </c>
      <c r="E67" s="20">
        <f>COUNTIFS(Orders!$I$2:$I$201,B67,Orders!$T$2:$T$201,TRUE)</f>
        <v>1</v>
      </c>
      <c r="F67" s="28">
        <f>SUMIFS(Orders!$R$2:$R$201,Orders!$I$2:$I$201,B67,Orders!$T$2:$T$201,TRUE)</f>
        <v>2283000</v>
      </c>
      <c r="G67" s="28">
        <f t="shared" si="1"/>
        <v>2283000</v>
      </c>
      <c r="H67" s="28" t="str">
        <f>IFERROR(__xludf.DUMMYFUNCTION("IF(E67&lt;2,"""",IFERROR((MAX(FILTER(Orders!$D$2:$D$201,Orders!$I$2:$I$201=B67,Orders!$T$2:$T$201=TRUE))-MIN(FILTER(Orders!$D$2:$D$201,Orders!$I$2:$I$201=B67,Orders!$T$2:$T$201=TRUE)))/(E67-1),""""))"),"")</f>
        <v/>
      </c>
      <c r="I67" s="20" t="str">
        <f>IFERROR(AVERAGEIF(Reviews!$H$2:$H$142,B67,Reviews!$C$2:$C$142),"")</f>
        <v/>
      </c>
      <c r="J67" s="20">
        <f>SUMIF(Interactions!$B$2:$B$481,B67,Interactions!$I$2:$I$481)</f>
        <v>10</v>
      </c>
      <c r="K67" s="20">
        <f t="shared" si="2"/>
        <v>1</v>
      </c>
      <c r="L67" s="20">
        <f t="shared" si="3"/>
        <v>3</v>
      </c>
      <c r="M67" s="20">
        <f t="shared" si="4"/>
        <v>3</v>
      </c>
      <c r="N67" s="28">
        <f t="shared" si="5"/>
        <v>40</v>
      </c>
      <c r="O67" s="20" t="str">
        <f t="shared" si="6"/>
        <v>Thông thường</v>
      </c>
      <c r="P67" s="23" t="s">
        <v>2622</v>
      </c>
    </row>
    <row r="68" ht="18.0" customHeight="1">
      <c r="A68" s="26">
        <v>46247.0</v>
      </c>
      <c r="B68" s="23" t="s">
        <v>607</v>
      </c>
      <c r="C68" s="20" t="str">
        <f>IFERROR(VLOOKUP(B68,Customers!$B$2:$L$81,11,FALSE),"")</f>
        <v>EMP003</v>
      </c>
      <c r="D68" s="20" t="str">
        <f>IFERROR(__xludf.DUMMYFUNCTION("IFERROR(A68-MAX(FILTER(Orders!$D$2:$D$201,Orders!$I$2:$I$201=B68,Orders!$T$2:$T$201=TRUE)),"""")"),"")</f>
        <v/>
      </c>
      <c r="E68" s="20">
        <f>COUNTIFS(Orders!$I$2:$I$201,B68,Orders!$T$2:$T$201,TRUE)</f>
        <v>0</v>
      </c>
      <c r="F68" s="28">
        <f>SUMIFS(Orders!$R$2:$R$201,Orders!$I$2:$I$201,B68,Orders!$T$2:$T$201,TRUE)</f>
        <v>0</v>
      </c>
      <c r="G68" s="28">
        <f t="shared" si="1"/>
        <v>0</v>
      </c>
      <c r="H68" s="28" t="str">
        <f>IFERROR(__xludf.DUMMYFUNCTION("IF(E68&lt;2,"""",IFERROR((MAX(FILTER(Orders!$D$2:$D$201,Orders!$I$2:$I$201=B68,Orders!$T$2:$T$201=TRUE))-MIN(FILTER(Orders!$D$2:$D$201,Orders!$I$2:$I$201=B68,Orders!$T$2:$T$201=TRUE)))/(E68-1),""""))"),"")</f>
        <v/>
      </c>
      <c r="I68" s="20" t="str">
        <f>IFERROR(AVERAGEIF(Reviews!$H$2:$H$142,B68,Reviews!$C$2:$C$142),"")</f>
        <v/>
      </c>
      <c r="J68" s="20">
        <f>SUMIF(Interactions!$B$2:$B$481,B68,Interactions!$I$2:$I$481)</f>
        <v>15</v>
      </c>
      <c r="K68" s="20" t="str">
        <f t="shared" si="2"/>
        <v/>
      </c>
      <c r="L68" s="20">
        <f t="shared" si="3"/>
        <v>1</v>
      </c>
      <c r="M68" s="20">
        <f t="shared" si="4"/>
        <v>1</v>
      </c>
      <c r="N68" s="28" t="str">
        <f t="shared" si="5"/>
        <v/>
      </c>
      <c r="O68" s="20" t="str">
        <f t="shared" si="6"/>
        <v>Chưa đủ dữ liệu</v>
      </c>
      <c r="P68" s="23" t="s">
        <v>2622</v>
      </c>
    </row>
    <row r="69" ht="18.0" customHeight="1">
      <c r="A69" s="26">
        <v>46247.0</v>
      </c>
      <c r="B69" s="23" t="s">
        <v>612</v>
      </c>
      <c r="C69" s="20" t="str">
        <f>IFERROR(VLOOKUP(B69,Customers!$B$2:$L$81,11,FALSE),"")</f>
        <v>EMP004</v>
      </c>
      <c r="D69" s="20" t="str">
        <f>IFERROR(__xludf.DUMMYFUNCTION("IFERROR(A69-MAX(FILTER(Orders!$D$2:$D$201,Orders!$I$2:$I$201=B69,Orders!$T$2:$T$201=TRUE)),"""")"),"")</f>
        <v/>
      </c>
      <c r="E69" s="20">
        <f>COUNTIFS(Orders!$I$2:$I$201,B69,Orders!$T$2:$T$201,TRUE)</f>
        <v>0</v>
      </c>
      <c r="F69" s="28">
        <f>SUMIFS(Orders!$R$2:$R$201,Orders!$I$2:$I$201,B69,Orders!$T$2:$T$201,TRUE)</f>
        <v>0</v>
      </c>
      <c r="G69" s="28">
        <f t="shared" si="1"/>
        <v>0</v>
      </c>
      <c r="H69" s="28" t="str">
        <f>IFERROR(__xludf.DUMMYFUNCTION("IF(E69&lt;2,"""",IFERROR((MAX(FILTER(Orders!$D$2:$D$201,Orders!$I$2:$I$201=B69,Orders!$T$2:$T$201=TRUE))-MIN(FILTER(Orders!$D$2:$D$201,Orders!$I$2:$I$201=B69,Orders!$T$2:$T$201=TRUE)))/(E69-1),""""))"),"")</f>
        <v/>
      </c>
      <c r="I69" s="20" t="str">
        <f>IFERROR(AVERAGEIF(Reviews!$H$2:$H$142,B69,Reviews!$C$2:$C$142),"")</f>
        <v/>
      </c>
      <c r="J69" s="20">
        <f>SUMIF(Interactions!$B$2:$B$481,B69,Interactions!$I$2:$I$481)</f>
        <v>14</v>
      </c>
      <c r="K69" s="20" t="str">
        <f t="shared" si="2"/>
        <v/>
      </c>
      <c r="L69" s="20">
        <f t="shared" si="3"/>
        <v>1</v>
      </c>
      <c r="M69" s="20">
        <f t="shared" si="4"/>
        <v>1</v>
      </c>
      <c r="N69" s="28" t="str">
        <f t="shared" si="5"/>
        <v/>
      </c>
      <c r="O69" s="20" t="str">
        <f t="shared" si="6"/>
        <v>Chưa đủ dữ liệu</v>
      </c>
      <c r="P69" s="23" t="s">
        <v>2622</v>
      </c>
    </row>
    <row r="70" ht="18.0" customHeight="1">
      <c r="A70" s="26">
        <v>46247.0</v>
      </c>
      <c r="B70" s="23" t="s">
        <v>620</v>
      </c>
      <c r="C70" s="20" t="str">
        <f>IFERROR(VLOOKUP(B70,Customers!$B$2:$L$81,11,FALSE),"")</f>
        <v>EMP005</v>
      </c>
      <c r="D70" s="20" t="str">
        <f>IFERROR(__xludf.DUMMYFUNCTION("IFERROR(A70-MAX(FILTER(Orders!$D$2:$D$201,Orders!$I$2:$I$201=B70,Orders!$T$2:$T$201=TRUE)),"""")"),"")</f>
        <v/>
      </c>
      <c r="E70" s="20">
        <f>COUNTIFS(Orders!$I$2:$I$201,B70,Orders!$T$2:$T$201,TRUE)</f>
        <v>0</v>
      </c>
      <c r="F70" s="28">
        <f>SUMIFS(Orders!$R$2:$R$201,Orders!$I$2:$I$201,B70,Orders!$T$2:$T$201,TRUE)</f>
        <v>0</v>
      </c>
      <c r="G70" s="28">
        <f t="shared" si="1"/>
        <v>0</v>
      </c>
      <c r="H70" s="28" t="str">
        <f>IFERROR(__xludf.DUMMYFUNCTION("IF(E70&lt;2,"""",IFERROR((MAX(FILTER(Orders!$D$2:$D$201,Orders!$I$2:$I$201=B70,Orders!$T$2:$T$201=TRUE))-MIN(FILTER(Orders!$D$2:$D$201,Orders!$I$2:$I$201=B70,Orders!$T$2:$T$201=TRUE)))/(E70-1),""""))"),"")</f>
        <v/>
      </c>
      <c r="I70" s="20" t="str">
        <f>IFERROR(AVERAGEIF(Reviews!$H$2:$H$142,B70,Reviews!$C$2:$C$142),"")</f>
        <v/>
      </c>
      <c r="J70" s="20">
        <f>SUMIF(Interactions!$B$2:$B$481,B70,Interactions!$I$2:$I$481)</f>
        <v>11</v>
      </c>
      <c r="K70" s="20" t="str">
        <f t="shared" si="2"/>
        <v/>
      </c>
      <c r="L70" s="20">
        <f t="shared" si="3"/>
        <v>1</v>
      </c>
      <c r="M70" s="20">
        <f t="shared" si="4"/>
        <v>1</v>
      </c>
      <c r="N70" s="28" t="str">
        <f t="shared" si="5"/>
        <v/>
      </c>
      <c r="O70" s="20" t="str">
        <f t="shared" si="6"/>
        <v>Chưa đủ dữ liệu</v>
      </c>
      <c r="P70" s="23" t="s">
        <v>2622</v>
      </c>
    </row>
    <row r="71" ht="18.0" customHeight="1">
      <c r="A71" s="26">
        <v>46247.0</v>
      </c>
      <c r="B71" s="23" t="s">
        <v>626</v>
      </c>
      <c r="C71" s="20" t="str">
        <f>IFERROR(VLOOKUP(B71,Customers!$B$2:$L$81,11,FALSE),"")</f>
        <v>EMP006</v>
      </c>
      <c r="D71" s="20" t="str">
        <f>IFERROR(__xludf.DUMMYFUNCTION("IFERROR(A71-MAX(FILTER(Orders!$D$2:$D$201,Orders!$I$2:$I$201=B71,Orders!$T$2:$T$201=TRUE)),"""")"),"")</f>
        <v/>
      </c>
      <c r="E71" s="20">
        <f>COUNTIFS(Orders!$I$2:$I$201,B71,Orders!$T$2:$T$201,TRUE)</f>
        <v>0</v>
      </c>
      <c r="F71" s="28">
        <f>SUMIFS(Orders!$R$2:$R$201,Orders!$I$2:$I$201,B71,Orders!$T$2:$T$201,TRUE)</f>
        <v>0</v>
      </c>
      <c r="G71" s="28">
        <f t="shared" si="1"/>
        <v>0</v>
      </c>
      <c r="H71" s="28" t="str">
        <f>IFERROR(__xludf.DUMMYFUNCTION("IF(E71&lt;2,"""",IFERROR((MAX(FILTER(Orders!$D$2:$D$201,Orders!$I$2:$I$201=B71,Orders!$T$2:$T$201=TRUE))-MIN(FILTER(Orders!$D$2:$D$201,Orders!$I$2:$I$201=B71,Orders!$T$2:$T$201=TRUE)))/(E71-1),""""))"),"")</f>
        <v/>
      </c>
      <c r="I71" s="20" t="str">
        <f>IFERROR(AVERAGEIF(Reviews!$H$2:$H$142,B71,Reviews!$C$2:$C$142),"")</f>
        <v/>
      </c>
      <c r="J71" s="20">
        <f>SUMIF(Interactions!$B$2:$B$481,B71,Interactions!$I$2:$I$481)</f>
        <v>14</v>
      </c>
      <c r="K71" s="20" t="str">
        <f t="shared" si="2"/>
        <v/>
      </c>
      <c r="L71" s="20">
        <f t="shared" si="3"/>
        <v>1</v>
      </c>
      <c r="M71" s="20">
        <f t="shared" si="4"/>
        <v>1</v>
      </c>
      <c r="N71" s="28" t="str">
        <f t="shared" si="5"/>
        <v/>
      </c>
      <c r="O71" s="20" t="str">
        <f t="shared" si="6"/>
        <v>Chưa đủ dữ liệu</v>
      </c>
      <c r="P71" s="23" t="s">
        <v>2622</v>
      </c>
    </row>
    <row r="72" ht="18.0" customHeight="1">
      <c r="A72" s="26">
        <v>46247.0</v>
      </c>
      <c r="B72" s="23" t="s">
        <v>632</v>
      </c>
      <c r="C72" s="20" t="str">
        <f>IFERROR(VLOOKUP(B72,Customers!$B$2:$L$81,11,FALSE),"")</f>
        <v>EMP007</v>
      </c>
      <c r="D72" s="20" t="str">
        <f>IFERROR(__xludf.DUMMYFUNCTION("IFERROR(A72-MAX(FILTER(Orders!$D$2:$D$201,Orders!$I$2:$I$201=B72,Orders!$T$2:$T$201=TRUE)),"""")"),"")</f>
        <v/>
      </c>
      <c r="E72" s="20">
        <f>COUNTIFS(Orders!$I$2:$I$201,B72,Orders!$T$2:$T$201,TRUE)</f>
        <v>0</v>
      </c>
      <c r="F72" s="28">
        <f>SUMIFS(Orders!$R$2:$R$201,Orders!$I$2:$I$201,B72,Orders!$T$2:$T$201,TRUE)</f>
        <v>0</v>
      </c>
      <c r="G72" s="28">
        <f t="shared" si="1"/>
        <v>0</v>
      </c>
      <c r="H72" s="28" t="str">
        <f>IFERROR(__xludf.DUMMYFUNCTION("IF(E72&lt;2,"""",IFERROR((MAX(FILTER(Orders!$D$2:$D$201,Orders!$I$2:$I$201=B72,Orders!$T$2:$T$201=TRUE))-MIN(FILTER(Orders!$D$2:$D$201,Orders!$I$2:$I$201=B72,Orders!$T$2:$T$201=TRUE)))/(E72-1),""""))"),"")</f>
        <v/>
      </c>
      <c r="I72" s="20" t="str">
        <f>IFERROR(AVERAGEIF(Reviews!$H$2:$H$142,B72,Reviews!$C$2:$C$142),"")</f>
        <v/>
      </c>
      <c r="J72" s="20">
        <f>SUMIF(Interactions!$B$2:$B$481,B72,Interactions!$I$2:$I$481)</f>
        <v>12</v>
      </c>
      <c r="K72" s="20" t="str">
        <f t="shared" si="2"/>
        <v/>
      </c>
      <c r="L72" s="20">
        <f t="shared" si="3"/>
        <v>1</v>
      </c>
      <c r="M72" s="20">
        <f t="shared" si="4"/>
        <v>1</v>
      </c>
      <c r="N72" s="28" t="str">
        <f t="shared" si="5"/>
        <v/>
      </c>
      <c r="O72" s="20" t="str">
        <f t="shared" si="6"/>
        <v>Chưa đủ dữ liệu</v>
      </c>
      <c r="P72" s="23" t="s">
        <v>2622</v>
      </c>
    </row>
    <row r="73" ht="18.0" customHeight="1">
      <c r="A73" s="26">
        <v>46247.0</v>
      </c>
      <c r="B73" s="23" t="s">
        <v>638</v>
      </c>
      <c r="C73" s="20" t="str">
        <f>IFERROR(VLOOKUP(B73,Customers!$B$2:$L$81,11,FALSE),"")</f>
        <v>EMP008</v>
      </c>
      <c r="D73" s="20" t="str">
        <f>IFERROR(__xludf.DUMMYFUNCTION("IFERROR(A73-MAX(FILTER(Orders!$D$2:$D$201,Orders!$I$2:$I$201=B73,Orders!$T$2:$T$201=TRUE)),"""")"),"")</f>
        <v/>
      </c>
      <c r="E73" s="20">
        <f>COUNTIFS(Orders!$I$2:$I$201,B73,Orders!$T$2:$T$201,TRUE)</f>
        <v>0</v>
      </c>
      <c r="F73" s="28">
        <f>SUMIFS(Orders!$R$2:$R$201,Orders!$I$2:$I$201,B73,Orders!$T$2:$T$201,TRUE)</f>
        <v>0</v>
      </c>
      <c r="G73" s="28">
        <f t="shared" si="1"/>
        <v>0</v>
      </c>
      <c r="H73" s="28" t="str">
        <f>IFERROR(__xludf.DUMMYFUNCTION("IF(E73&lt;2,"""",IFERROR((MAX(FILTER(Orders!$D$2:$D$201,Orders!$I$2:$I$201=B73,Orders!$T$2:$T$201=TRUE))-MIN(FILTER(Orders!$D$2:$D$201,Orders!$I$2:$I$201=B73,Orders!$T$2:$T$201=TRUE)))/(E73-1),""""))"),"")</f>
        <v/>
      </c>
      <c r="I73" s="20" t="str">
        <f>IFERROR(AVERAGEIF(Reviews!$H$2:$H$142,B73,Reviews!$C$2:$C$142),"")</f>
        <v/>
      </c>
      <c r="J73" s="20">
        <f>SUMIF(Interactions!$B$2:$B$481,B73,Interactions!$I$2:$I$481)</f>
        <v>13</v>
      </c>
      <c r="K73" s="20" t="str">
        <f t="shared" si="2"/>
        <v/>
      </c>
      <c r="L73" s="20">
        <f t="shared" si="3"/>
        <v>1</v>
      </c>
      <c r="M73" s="20">
        <f t="shared" si="4"/>
        <v>1</v>
      </c>
      <c r="N73" s="28" t="str">
        <f t="shared" si="5"/>
        <v/>
      </c>
      <c r="O73" s="20" t="str">
        <f t="shared" si="6"/>
        <v>Chưa đủ dữ liệu</v>
      </c>
      <c r="P73" s="23" t="s">
        <v>2622</v>
      </c>
    </row>
    <row r="74" ht="18.0" customHeight="1">
      <c r="A74" s="26">
        <v>46247.0</v>
      </c>
      <c r="B74" s="23" t="s">
        <v>644</v>
      </c>
      <c r="C74" s="20" t="str">
        <f>IFERROR(VLOOKUP(B74,Customers!$B$2:$L$81,11,FALSE),"")</f>
        <v>EMP001</v>
      </c>
      <c r="D74" s="20" t="str">
        <f>IFERROR(__xludf.DUMMYFUNCTION("IFERROR(A74-MAX(FILTER(Orders!$D$2:$D$201,Orders!$I$2:$I$201=B74,Orders!$T$2:$T$201=TRUE)),"""")"),"")</f>
        <v/>
      </c>
      <c r="E74" s="20">
        <f>COUNTIFS(Orders!$I$2:$I$201,B74,Orders!$T$2:$T$201,TRUE)</f>
        <v>0</v>
      </c>
      <c r="F74" s="28">
        <f>SUMIFS(Orders!$R$2:$R$201,Orders!$I$2:$I$201,B74,Orders!$T$2:$T$201,TRUE)</f>
        <v>0</v>
      </c>
      <c r="G74" s="28">
        <f t="shared" si="1"/>
        <v>0</v>
      </c>
      <c r="H74" s="28" t="str">
        <f>IFERROR(__xludf.DUMMYFUNCTION("IF(E74&lt;2,"""",IFERROR((MAX(FILTER(Orders!$D$2:$D$201,Orders!$I$2:$I$201=B74,Orders!$T$2:$T$201=TRUE))-MIN(FILTER(Orders!$D$2:$D$201,Orders!$I$2:$I$201=B74,Orders!$T$2:$T$201=TRUE)))/(E74-1),""""))"),"")</f>
        <v/>
      </c>
      <c r="I74" s="20" t="str">
        <f>IFERROR(AVERAGEIF(Reviews!$H$2:$H$142,B74,Reviews!$C$2:$C$142),"")</f>
        <v/>
      </c>
      <c r="J74" s="20">
        <f>SUMIF(Interactions!$B$2:$B$481,B74,Interactions!$I$2:$I$481)</f>
        <v>13</v>
      </c>
      <c r="K74" s="20" t="str">
        <f t="shared" si="2"/>
        <v/>
      </c>
      <c r="L74" s="20">
        <f t="shared" si="3"/>
        <v>1</v>
      </c>
      <c r="M74" s="20">
        <f t="shared" si="4"/>
        <v>1</v>
      </c>
      <c r="N74" s="28" t="str">
        <f t="shared" si="5"/>
        <v/>
      </c>
      <c r="O74" s="20" t="str">
        <f t="shared" si="6"/>
        <v>Chưa đủ dữ liệu</v>
      </c>
      <c r="P74" s="23" t="s">
        <v>2622</v>
      </c>
    </row>
    <row r="75" ht="18.0" customHeight="1">
      <c r="A75" s="26">
        <v>46247.0</v>
      </c>
      <c r="B75" s="23" t="s">
        <v>649</v>
      </c>
      <c r="C75" s="20" t="str">
        <f>IFERROR(VLOOKUP(B75,Customers!$B$2:$L$81,11,FALSE),"")</f>
        <v>EMP002</v>
      </c>
      <c r="D75" s="20" t="str">
        <f>IFERROR(__xludf.DUMMYFUNCTION("IFERROR(A75-MAX(FILTER(Orders!$D$2:$D$201,Orders!$I$2:$I$201=B75,Orders!$T$2:$T$201=TRUE)),"""")"),"")</f>
        <v/>
      </c>
      <c r="E75" s="20">
        <f>COUNTIFS(Orders!$I$2:$I$201,B75,Orders!$T$2:$T$201,TRUE)</f>
        <v>0</v>
      </c>
      <c r="F75" s="28">
        <f>SUMIFS(Orders!$R$2:$R$201,Orders!$I$2:$I$201,B75,Orders!$T$2:$T$201,TRUE)</f>
        <v>0</v>
      </c>
      <c r="G75" s="28">
        <f t="shared" si="1"/>
        <v>0</v>
      </c>
      <c r="H75" s="28" t="str">
        <f>IFERROR(__xludf.DUMMYFUNCTION("IF(E75&lt;2,"""",IFERROR((MAX(FILTER(Orders!$D$2:$D$201,Orders!$I$2:$I$201=B75,Orders!$T$2:$T$201=TRUE))-MIN(FILTER(Orders!$D$2:$D$201,Orders!$I$2:$I$201=B75,Orders!$T$2:$T$201=TRUE)))/(E75-1),""""))"),"")</f>
        <v/>
      </c>
      <c r="I75" s="20" t="str">
        <f>IFERROR(AVERAGEIF(Reviews!$H$2:$H$142,B75,Reviews!$C$2:$C$142),"")</f>
        <v/>
      </c>
      <c r="J75" s="20">
        <f>SUMIF(Interactions!$B$2:$B$481,B75,Interactions!$I$2:$I$481)</f>
        <v>10</v>
      </c>
      <c r="K75" s="20" t="str">
        <f t="shared" si="2"/>
        <v/>
      </c>
      <c r="L75" s="20">
        <f t="shared" si="3"/>
        <v>1</v>
      </c>
      <c r="M75" s="20">
        <f t="shared" si="4"/>
        <v>1</v>
      </c>
      <c r="N75" s="28" t="str">
        <f t="shared" si="5"/>
        <v/>
      </c>
      <c r="O75" s="20" t="str">
        <f t="shared" si="6"/>
        <v>Chưa đủ dữ liệu</v>
      </c>
      <c r="P75" s="23" t="s">
        <v>2622</v>
      </c>
    </row>
    <row r="76" ht="18.0" customHeight="1">
      <c r="A76" s="26">
        <v>46247.0</v>
      </c>
      <c r="B76" s="23" t="s">
        <v>655</v>
      </c>
      <c r="C76" s="20" t="str">
        <f>IFERROR(VLOOKUP(B76,Customers!$B$2:$L$81,11,FALSE),"")</f>
        <v>EMP003</v>
      </c>
      <c r="D76" s="20" t="str">
        <f>IFERROR(__xludf.DUMMYFUNCTION("IFERROR(A76-MAX(FILTER(Orders!$D$2:$D$201,Orders!$I$2:$I$201=B76,Orders!$T$2:$T$201=TRUE)),"""")"),"")</f>
        <v/>
      </c>
      <c r="E76" s="20">
        <f>COUNTIFS(Orders!$I$2:$I$201,B76,Orders!$T$2:$T$201,TRUE)</f>
        <v>0</v>
      </c>
      <c r="F76" s="28">
        <f>SUMIFS(Orders!$R$2:$R$201,Orders!$I$2:$I$201,B76,Orders!$T$2:$T$201,TRUE)</f>
        <v>0</v>
      </c>
      <c r="G76" s="28">
        <f t="shared" si="1"/>
        <v>0</v>
      </c>
      <c r="H76" s="28" t="str">
        <f>IFERROR(__xludf.DUMMYFUNCTION("IF(E76&lt;2,"""",IFERROR((MAX(FILTER(Orders!$D$2:$D$201,Orders!$I$2:$I$201=B76,Orders!$T$2:$T$201=TRUE))-MIN(FILTER(Orders!$D$2:$D$201,Orders!$I$2:$I$201=B76,Orders!$T$2:$T$201=TRUE)))/(E76-1),""""))"),"")</f>
        <v/>
      </c>
      <c r="I76" s="20" t="str">
        <f>IFERROR(AVERAGEIF(Reviews!$H$2:$H$142,B76,Reviews!$C$2:$C$142),"")</f>
        <v/>
      </c>
      <c r="J76" s="20">
        <f>SUMIF(Interactions!$B$2:$B$481,B76,Interactions!$I$2:$I$481)</f>
        <v>15</v>
      </c>
      <c r="K76" s="20" t="str">
        <f t="shared" si="2"/>
        <v/>
      </c>
      <c r="L76" s="20">
        <f t="shared" si="3"/>
        <v>1</v>
      </c>
      <c r="M76" s="20">
        <f t="shared" si="4"/>
        <v>1</v>
      </c>
      <c r="N76" s="28" t="str">
        <f t="shared" si="5"/>
        <v/>
      </c>
      <c r="O76" s="20" t="str">
        <f t="shared" si="6"/>
        <v>Chưa đủ dữ liệu</v>
      </c>
      <c r="P76" s="23" t="s">
        <v>2622</v>
      </c>
    </row>
    <row r="77" ht="18.0" customHeight="1">
      <c r="A77" s="26">
        <v>46247.0</v>
      </c>
      <c r="B77" s="23" t="s">
        <v>662</v>
      </c>
      <c r="C77" s="20" t="str">
        <f>IFERROR(VLOOKUP(B77,Customers!$B$2:$L$81,11,FALSE),"")</f>
        <v>EMP004</v>
      </c>
      <c r="D77" s="20">
        <f>IFERROR(__xludf.DUMMYFUNCTION("IFERROR(A77-MAX(FILTER(Orders!$D$2:$D$201,Orders!$I$2:$I$201=B77,Orders!$T$2:$T$201=TRUE)),"""")"),843.274328703701)</f>
        <v>843.2743287</v>
      </c>
      <c r="E77" s="20">
        <f>COUNTIFS(Orders!$I$2:$I$201,B77,Orders!$T$2:$T$201,TRUE)</f>
        <v>1</v>
      </c>
      <c r="F77" s="28">
        <f>SUMIFS(Orders!$R$2:$R$201,Orders!$I$2:$I$201,B77,Orders!$T$2:$T$201,TRUE)</f>
        <v>562000</v>
      </c>
      <c r="G77" s="28">
        <f t="shared" si="1"/>
        <v>562000</v>
      </c>
      <c r="H77" s="28" t="str">
        <f>IFERROR(__xludf.DUMMYFUNCTION("IF(E77&lt;2,"""",IFERROR((MAX(FILTER(Orders!$D$2:$D$201,Orders!$I$2:$I$201=B77,Orders!$T$2:$T$201=TRUE))-MIN(FILTER(Orders!$D$2:$D$201,Orders!$I$2:$I$201=B77,Orders!$T$2:$T$201=TRUE)))/(E77-1),""""))"),"")</f>
        <v/>
      </c>
      <c r="I77" s="20" t="str">
        <f>IFERROR(AVERAGEIF(Reviews!$H$2:$H$142,B77,Reviews!$C$2:$C$142),"")</f>
        <v/>
      </c>
      <c r="J77" s="20">
        <f>SUMIF(Interactions!$B$2:$B$481,B77,Interactions!$I$2:$I$481)</f>
        <v>14</v>
      </c>
      <c r="K77" s="20">
        <f t="shared" si="2"/>
        <v>1</v>
      </c>
      <c r="L77" s="20">
        <f t="shared" si="3"/>
        <v>3</v>
      </c>
      <c r="M77" s="20">
        <f t="shared" si="4"/>
        <v>3</v>
      </c>
      <c r="N77" s="28">
        <f t="shared" si="5"/>
        <v>49.6</v>
      </c>
      <c r="O77" s="20" t="str">
        <f t="shared" si="6"/>
        <v>Thông thường</v>
      </c>
      <c r="P77" s="23" t="s">
        <v>2622</v>
      </c>
    </row>
    <row r="78" ht="18.0" customHeight="1">
      <c r="A78" s="26">
        <v>46247.0</v>
      </c>
      <c r="B78" s="23" t="s">
        <v>670</v>
      </c>
      <c r="C78" s="20" t="str">
        <f>IFERROR(VLOOKUP(B78,Customers!$B$2:$L$81,11,FALSE),"")</f>
        <v>EMP005</v>
      </c>
      <c r="D78" s="20" t="str">
        <f>IFERROR(__xludf.DUMMYFUNCTION("IFERROR(A78-MAX(FILTER(Orders!$D$2:$D$201,Orders!$I$2:$I$201=B78,Orders!$T$2:$T$201=TRUE)),"""")"),"")</f>
        <v/>
      </c>
      <c r="E78" s="20">
        <f>COUNTIFS(Orders!$I$2:$I$201,B78,Orders!$T$2:$T$201,TRUE)</f>
        <v>0</v>
      </c>
      <c r="F78" s="28">
        <f>SUMIFS(Orders!$R$2:$R$201,Orders!$I$2:$I$201,B78,Orders!$T$2:$T$201,TRUE)</f>
        <v>0</v>
      </c>
      <c r="G78" s="28">
        <f t="shared" si="1"/>
        <v>0</v>
      </c>
      <c r="H78" s="28" t="str">
        <f>IFERROR(__xludf.DUMMYFUNCTION("IF(E78&lt;2,"""",IFERROR((MAX(FILTER(Orders!$D$2:$D$201,Orders!$I$2:$I$201=B78,Orders!$T$2:$T$201=TRUE))-MIN(FILTER(Orders!$D$2:$D$201,Orders!$I$2:$I$201=B78,Orders!$T$2:$T$201=TRUE)))/(E78-1),""""))"),"")</f>
        <v/>
      </c>
      <c r="I78" s="20" t="str">
        <f>IFERROR(AVERAGEIF(Reviews!$H$2:$H$142,B78,Reviews!$C$2:$C$142),"")</f>
        <v/>
      </c>
      <c r="J78" s="20">
        <f>SUMIF(Interactions!$B$2:$B$481,B78,Interactions!$I$2:$I$481)</f>
        <v>11</v>
      </c>
      <c r="K78" s="20" t="str">
        <f t="shared" si="2"/>
        <v/>
      </c>
      <c r="L78" s="20">
        <f t="shared" si="3"/>
        <v>1</v>
      </c>
      <c r="M78" s="20">
        <f t="shared" si="4"/>
        <v>1</v>
      </c>
      <c r="N78" s="28" t="str">
        <f t="shared" si="5"/>
        <v/>
      </c>
      <c r="O78" s="20" t="str">
        <f t="shared" si="6"/>
        <v>Chưa đủ dữ liệu</v>
      </c>
      <c r="P78" s="23" t="s">
        <v>2622</v>
      </c>
    </row>
    <row r="79" ht="18.0" customHeight="1">
      <c r="A79" s="26">
        <v>46247.0</v>
      </c>
      <c r="B79" s="23" t="s">
        <v>469</v>
      </c>
      <c r="C79" s="20" t="str">
        <f>IFERROR(VLOOKUP(B79,Customers!$B$2:$L$81,11,FALSE),"")</f>
        <v>EMP006</v>
      </c>
      <c r="D79" s="20">
        <f>IFERROR(__xludf.DUMMYFUNCTION("IFERROR(A79-MAX(FILTER(Orders!$D$2:$D$201,Orders!$I$2:$I$201=B79,Orders!$T$2:$T$201=TRUE)),"""")"),50.07442129629635)</f>
        <v>50.0744213</v>
      </c>
      <c r="E79" s="20">
        <f>COUNTIFS(Orders!$I$2:$I$201,B79,Orders!$T$2:$T$201,TRUE)</f>
        <v>1</v>
      </c>
      <c r="F79" s="28">
        <f>SUMIFS(Orders!$R$2:$R$201,Orders!$I$2:$I$201,B79,Orders!$T$2:$T$201,TRUE)</f>
        <v>2037000</v>
      </c>
      <c r="G79" s="28">
        <f t="shared" si="1"/>
        <v>2037000</v>
      </c>
      <c r="H79" s="28" t="str">
        <f>IFERROR(__xludf.DUMMYFUNCTION("IF(E79&lt;2,"""",IFERROR((MAX(FILTER(Orders!$D$2:$D$201,Orders!$I$2:$I$201=B79,Orders!$T$2:$T$201=TRUE))-MIN(FILTER(Orders!$D$2:$D$201,Orders!$I$2:$I$201=B79,Orders!$T$2:$T$201=TRUE)))/(E79-1),""""))"),"")</f>
        <v/>
      </c>
      <c r="I79" s="20">
        <f>IFERROR(AVERAGEIF(Reviews!$H$2:$H$142,B79,Reviews!$C$2:$C$142),"")</f>
        <v>3.5</v>
      </c>
      <c r="J79" s="20">
        <f>SUMIF(Interactions!$B$2:$B$481,B79,Interactions!$I$2:$I$481)</f>
        <v>14</v>
      </c>
      <c r="K79" s="20">
        <f t="shared" si="2"/>
        <v>4</v>
      </c>
      <c r="L79" s="20">
        <f t="shared" si="3"/>
        <v>3</v>
      </c>
      <c r="M79" s="20">
        <f t="shared" si="4"/>
        <v>3</v>
      </c>
      <c r="N79" s="28">
        <f t="shared" si="5"/>
        <v>70.6</v>
      </c>
      <c r="O79" s="20" t="str">
        <f t="shared" si="6"/>
        <v>Tiềm năng</v>
      </c>
      <c r="P79" s="23" t="s">
        <v>2622</v>
      </c>
    </row>
    <row r="80" ht="18.0" customHeight="1">
      <c r="A80" s="26">
        <v>46247.0</v>
      </c>
      <c r="B80" s="23" t="s">
        <v>679</v>
      </c>
      <c r="C80" s="20" t="str">
        <f>IFERROR(VLOOKUP(B80,Customers!$B$2:$L$81,11,FALSE),"")</f>
        <v>EMP007</v>
      </c>
      <c r="D80" s="20" t="str">
        <f>IFERROR(__xludf.DUMMYFUNCTION("IFERROR(A80-MAX(FILTER(Orders!$D$2:$D$201,Orders!$I$2:$I$201=B80,Orders!$T$2:$T$201=TRUE)),"""")"),"")</f>
        <v/>
      </c>
      <c r="E80" s="20">
        <f>COUNTIFS(Orders!$I$2:$I$201,B80,Orders!$T$2:$T$201,TRUE)</f>
        <v>0</v>
      </c>
      <c r="F80" s="28">
        <f>SUMIFS(Orders!$R$2:$R$201,Orders!$I$2:$I$201,B80,Orders!$T$2:$T$201,TRUE)</f>
        <v>0</v>
      </c>
      <c r="G80" s="28">
        <f t="shared" si="1"/>
        <v>0</v>
      </c>
      <c r="H80" s="28" t="str">
        <f>IFERROR(__xludf.DUMMYFUNCTION("IF(E80&lt;2,"""",IFERROR((MAX(FILTER(Orders!$D$2:$D$201,Orders!$I$2:$I$201=B80,Orders!$T$2:$T$201=TRUE))-MIN(FILTER(Orders!$D$2:$D$201,Orders!$I$2:$I$201=B80,Orders!$T$2:$T$201=TRUE)))/(E80-1),""""))"),"")</f>
        <v/>
      </c>
      <c r="I80" s="20" t="str">
        <f>IFERROR(AVERAGEIF(Reviews!$H$2:$H$142,B80,Reviews!$C$2:$C$142),"")</f>
        <v/>
      </c>
      <c r="J80" s="20">
        <f>SUMIF(Interactions!$B$2:$B$481,B80,Interactions!$I$2:$I$481)</f>
        <v>12</v>
      </c>
      <c r="K80" s="20" t="str">
        <f t="shared" si="2"/>
        <v/>
      </c>
      <c r="L80" s="20">
        <f t="shared" si="3"/>
        <v>1</v>
      </c>
      <c r="M80" s="20">
        <f t="shared" si="4"/>
        <v>1</v>
      </c>
      <c r="N80" s="28" t="str">
        <f t="shared" si="5"/>
        <v/>
      </c>
      <c r="O80" s="20" t="str">
        <f t="shared" si="6"/>
        <v>Chưa đủ dữ liệu</v>
      </c>
      <c r="P80" s="23" t="s">
        <v>2622</v>
      </c>
    </row>
    <row r="81" ht="18.0" customHeight="1">
      <c r="A81" s="26">
        <v>46247.0</v>
      </c>
      <c r="B81" s="23" t="s">
        <v>685</v>
      </c>
      <c r="C81" s="20" t="str">
        <f>IFERROR(VLOOKUP(B81,Customers!$B$2:$L$81,11,FALSE),"")</f>
        <v>EMP008</v>
      </c>
      <c r="D81" s="20" t="str">
        <f>IFERROR(__xludf.DUMMYFUNCTION("IFERROR(A81-MAX(FILTER(Orders!$D$2:$D$201,Orders!$I$2:$I$201=B81,Orders!$T$2:$T$201=TRUE)),"""")"),"")</f>
        <v/>
      </c>
      <c r="E81" s="20">
        <f>COUNTIFS(Orders!$I$2:$I$201,B81,Orders!$T$2:$T$201,TRUE)</f>
        <v>0</v>
      </c>
      <c r="F81" s="28">
        <f>SUMIFS(Orders!$R$2:$R$201,Orders!$I$2:$I$201,B81,Orders!$T$2:$T$201,TRUE)</f>
        <v>0</v>
      </c>
      <c r="G81" s="28">
        <f t="shared" si="1"/>
        <v>0</v>
      </c>
      <c r="H81" s="28" t="str">
        <f>IFERROR(__xludf.DUMMYFUNCTION("IF(E81&lt;2,"""",IFERROR((MAX(FILTER(Orders!$D$2:$D$201,Orders!$I$2:$I$201=B81,Orders!$T$2:$T$201=TRUE))-MIN(FILTER(Orders!$D$2:$D$201,Orders!$I$2:$I$201=B81,Orders!$T$2:$T$201=TRUE)))/(E81-1),""""))"),"")</f>
        <v/>
      </c>
      <c r="I81" s="20" t="str">
        <f>IFERROR(AVERAGEIF(Reviews!$H$2:$H$142,B81,Reviews!$C$2:$C$142),"")</f>
        <v/>
      </c>
      <c r="J81" s="20">
        <f>SUMIF(Interactions!$B$2:$B$481,B81,Interactions!$I$2:$I$481)</f>
        <v>13</v>
      </c>
      <c r="K81" s="20" t="str">
        <f t="shared" si="2"/>
        <v/>
      </c>
      <c r="L81" s="20">
        <f t="shared" si="3"/>
        <v>1</v>
      </c>
      <c r="M81" s="20">
        <f t="shared" si="4"/>
        <v>1</v>
      </c>
      <c r="N81" s="28" t="str">
        <f t="shared" si="5"/>
        <v/>
      </c>
      <c r="O81" s="20" t="str">
        <f t="shared" si="6"/>
        <v>Chưa đủ dữ liệu</v>
      </c>
      <c r="P81" s="23" t="s">
        <v>2622</v>
      </c>
    </row>
  </sheetData>
  <autoFilter ref="$A$1:$P$8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82C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3" width="15.75"/>
    <col customWidth="1" min="4" max="4" width="17.0"/>
    <col customWidth="1" min="5" max="5" width="14.13"/>
    <col customWidth="1" min="6" max="6" width="9.0"/>
    <col customWidth="1" min="7" max="7" width="13.0"/>
    <col customWidth="1" min="8" max="8" width="44.25"/>
  </cols>
  <sheetData>
    <row r="1" ht="27.0" customHeight="1">
      <c r="A1" s="22" t="s">
        <v>1820</v>
      </c>
      <c r="B1" s="22" t="s">
        <v>1822</v>
      </c>
      <c r="C1" s="22" t="s">
        <v>1824</v>
      </c>
      <c r="D1" s="22" t="s">
        <v>1826</v>
      </c>
      <c r="E1" s="22" t="s">
        <v>1828</v>
      </c>
      <c r="F1" s="22" t="s">
        <v>1743</v>
      </c>
      <c r="G1" s="22" t="s">
        <v>1831</v>
      </c>
      <c r="H1" s="22" t="s">
        <v>1833</v>
      </c>
      <c r="I1" s="19"/>
      <c r="J1" s="19"/>
    </row>
    <row r="2" ht="18.0" customHeight="1">
      <c r="A2" s="23" t="s">
        <v>2710</v>
      </c>
      <c r="B2" s="25">
        <v>46247.5</v>
      </c>
      <c r="C2" s="25">
        <v>46247.0</v>
      </c>
      <c r="D2" s="23" t="s">
        <v>2712</v>
      </c>
      <c r="E2" s="23" t="s">
        <v>2713</v>
      </c>
      <c r="F2" s="23" t="s">
        <v>2430</v>
      </c>
      <c r="G2" s="23">
        <v>80.0</v>
      </c>
      <c r="H2" s="23" t="s">
        <v>2715</v>
      </c>
      <c r="I2" s="20"/>
      <c r="J2" s="20"/>
    </row>
    <row r="3" ht="18.0" customHeight="1">
      <c r="A3" s="23" t="s">
        <v>2717</v>
      </c>
      <c r="B3" s="25">
        <v>46247.51</v>
      </c>
      <c r="C3" s="25">
        <v>46247.0</v>
      </c>
      <c r="D3" s="23" t="s">
        <v>2718</v>
      </c>
      <c r="E3" s="23" t="s">
        <v>2719</v>
      </c>
      <c r="F3" s="23" t="s">
        <v>2720</v>
      </c>
      <c r="G3" s="23">
        <v>0.0</v>
      </c>
      <c r="H3" s="23" t="s">
        <v>2722</v>
      </c>
      <c r="I3" s="20"/>
      <c r="J3" s="20"/>
    </row>
  </sheetData>
  <autoFilter ref="$A$1:$J$3"/>
  <drawing r:id="rId1"/>
</worksheet>
</file>